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5" windowWidth="22980" windowHeight="9555" activeTab="1"/>
  </bookViews>
  <sheets>
    <sheet name="ReadMe" sheetId="3" r:id="rId1"/>
    <sheet name="Chart" sheetId="1" r:id="rId2"/>
    <sheet name="Data" sheetId="2" r:id="rId3"/>
  </sheets>
  <definedNames>
    <definedName name="dtFrom">Chart!$C$5</definedName>
    <definedName name="dtTo">Chart!$C$6</definedName>
    <definedName name="ExternalData_10" localSheetId="2">Data!$A$1:$A$24</definedName>
    <definedName name="ExternalData_100" localSheetId="2">Data!$A$1:$A$23</definedName>
    <definedName name="ExternalData_101" localSheetId="2">Data!$A$1:$A$23</definedName>
    <definedName name="ExternalData_102" localSheetId="2">Data!$A$1:$A$23</definedName>
    <definedName name="ExternalData_103" localSheetId="2">Data!$A$1:$A$23</definedName>
    <definedName name="ExternalData_104" localSheetId="2">Data!$A$1:$A$23</definedName>
    <definedName name="ExternalData_105" localSheetId="2">Data!$A$1:$A$23</definedName>
    <definedName name="ExternalData_106" localSheetId="2">Data!$A$1:$A$23</definedName>
    <definedName name="ExternalData_107" localSheetId="2">Data!$A$1:$A$23</definedName>
    <definedName name="ExternalData_108" localSheetId="2">Data!$A$1:$A$23</definedName>
    <definedName name="ExternalData_109" localSheetId="2">Data!$A$1:$A$23</definedName>
    <definedName name="ExternalData_11" localSheetId="2">Data!$A$1:$A$24</definedName>
    <definedName name="ExternalData_110" localSheetId="2">Data!$A$1:$A$23</definedName>
    <definedName name="ExternalData_111" localSheetId="2">Data!$A$1:$A$23</definedName>
    <definedName name="ExternalData_112" localSheetId="2">Data!$A$1:$A$23</definedName>
    <definedName name="ExternalData_113" localSheetId="2">Data!$A$1:$A$23</definedName>
    <definedName name="ExternalData_114" localSheetId="2">Data!$A$1:$A$23</definedName>
    <definedName name="ExternalData_115" localSheetId="2">Data!$A$1:$A$23</definedName>
    <definedName name="ExternalData_116" localSheetId="2">Data!$A$1:$A$23</definedName>
    <definedName name="ExternalData_117" localSheetId="2">Data!$A$1:$A$23</definedName>
    <definedName name="ExternalData_118" localSheetId="2">Data!$A$1:$A$23</definedName>
    <definedName name="ExternalData_119" localSheetId="2">Data!$A$1:$A$23</definedName>
    <definedName name="ExternalData_12" localSheetId="2">Data!$A$1:$A$24</definedName>
    <definedName name="ExternalData_120" localSheetId="2">Data!$A$1:$A$23</definedName>
    <definedName name="ExternalData_121" localSheetId="2">Data!$A$1:$A$23</definedName>
    <definedName name="ExternalData_122" localSheetId="2">Data!$A$1:$A$23</definedName>
    <definedName name="ExternalData_123" localSheetId="2">Data!$A$1:$A$23</definedName>
    <definedName name="ExternalData_124" localSheetId="2">Data!$A$1:$A$23</definedName>
    <definedName name="ExternalData_125" localSheetId="2">Data!$A$1:$A$23</definedName>
    <definedName name="ExternalData_126" localSheetId="2">Data!$A$1:$A$23</definedName>
    <definedName name="ExternalData_127" localSheetId="2">Data!$A$1:$A$23</definedName>
    <definedName name="ExternalData_128" localSheetId="2">Data!$A$1:$A$23</definedName>
    <definedName name="ExternalData_129" localSheetId="2">Data!$A$1:$A$23</definedName>
    <definedName name="ExternalData_13" localSheetId="2">Data!$A$1:$A$24</definedName>
    <definedName name="ExternalData_130" localSheetId="2">Data!$A$1:$A$23</definedName>
    <definedName name="ExternalData_131" localSheetId="2">Data!$A$1:$A$23</definedName>
    <definedName name="ExternalData_132" localSheetId="2">Data!$A$1:$A$23</definedName>
    <definedName name="ExternalData_133" localSheetId="2">Data!$A$1:$A$23</definedName>
    <definedName name="ExternalData_134" localSheetId="2">Data!$A$1:$A$23</definedName>
    <definedName name="ExternalData_135" localSheetId="2">Data!$A$1:$A$23</definedName>
    <definedName name="ExternalData_136" localSheetId="2">Data!$A$1:$A$23</definedName>
    <definedName name="ExternalData_137" localSheetId="2">Data!$A$1:$A$23</definedName>
    <definedName name="ExternalData_138" localSheetId="2">Data!$A$1:$A$23</definedName>
    <definedName name="ExternalData_139" localSheetId="2">Data!$A$1:$A$23</definedName>
    <definedName name="ExternalData_14" localSheetId="2">Data!$A$1:$A$24</definedName>
    <definedName name="ExternalData_140" localSheetId="2">Data!$A$1:$A$23</definedName>
    <definedName name="ExternalData_141" localSheetId="2">Data!$A$1:$A$23</definedName>
    <definedName name="ExternalData_142" localSheetId="2">Data!$A$1:$A$23</definedName>
    <definedName name="ExternalData_143" localSheetId="2">Data!$A$1:$A$127</definedName>
    <definedName name="ExternalData_144" localSheetId="2">Data!$A$1:$A$85</definedName>
    <definedName name="ExternalData_145" localSheetId="2">Data!$A$1:$A$109</definedName>
    <definedName name="ExternalData_146" localSheetId="2">Data!$A$1:$A$127</definedName>
    <definedName name="ExternalData_147" localSheetId="2">Data!$A$1:$A$127</definedName>
    <definedName name="ExternalData_148" localSheetId="2">Data!$A$1:$A$127</definedName>
    <definedName name="ExternalData_149" localSheetId="2">Data!$A$1:$A$127</definedName>
    <definedName name="ExternalData_15" localSheetId="2">Data!$A$1:$A$24</definedName>
    <definedName name="ExternalData_150" localSheetId="2">Data!$A$1:$A$127</definedName>
    <definedName name="ExternalData_151" localSheetId="2">Data!$A$1:$A$127</definedName>
    <definedName name="ExternalData_152" localSheetId="2">Data!$A$1:$A$127</definedName>
    <definedName name="ExternalData_153" localSheetId="2">Data!$A$1:$A$127</definedName>
    <definedName name="ExternalData_154" localSheetId="2">Data!$A$1:$A$127</definedName>
    <definedName name="ExternalData_155" localSheetId="2">Data!$A$1:$A$127</definedName>
    <definedName name="ExternalData_156" localSheetId="2">Data!$A$1:$A$127</definedName>
    <definedName name="ExternalData_157" localSheetId="2">Data!$A$1:$A$127</definedName>
    <definedName name="ExternalData_158" localSheetId="2">Data!$A$1:$A$109</definedName>
    <definedName name="ExternalData_159" localSheetId="2">Data!$A$1:$A$127</definedName>
    <definedName name="ExternalData_16" localSheetId="2">Data!$A$1:$A$24</definedName>
    <definedName name="ExternalData_160" localSheetId="2">Data!$A$1:$A$127</definedName>
    <definedName name="ExternalData_161" localSheetId="2">Data!$A$1:$A$127</definedName>
    <definedName name="ExternalData_162" localSheetId="2">Data!$A$1:$A$127</definedName>
    <definedName name="ExternalData_163" localSheetId="2">Data!$A$1:$A$127</definedName>
    <definedName name="ExternalData_164" localSheetId="2">Data!$A$1:$A$127</definedName>
    <definedName name="ExternalData_165" localSheetId="2">Data!$A$1:$A$127</definedName>
    <definedName name="ExternalData_166" localSheetId="2">Data!$A$1:$A$127</definedName>
    <definedName name="ExternalData_167" localSheetId="2">Data!$A$1:$A$127</definedName>
    <definedName name="ExternalData_168" localSheetId="2">Data!$A$1:$A$127</definedName>
    <definedName name="ExternalData_169" localSheetId="2">Data!$A$1:$A$127</definedName>
    <definedName name="ExternalData_17" localSheetId="2">Data!$A$1:$A$24</definedName>
    <definedName name="ExternalData_170" localSheetId="2">Data!$A$1:$A$127</definedName>
    <definedName name="ExternalData_171" localSheetId="2">Data!$A$1:$A$127</definedName>
    <definedName name="ExternalData_173" localSheetId="2">Data!$A$1:$A$131</definedName>
    <definedName name="ExternalData_176" localSheetId="2">Data!$A$1:$A$127</definedName>
    <definedName name="ExternalData_177" localSheetId="2">Data!$A$1:$A$127</definedName>
    <definedName name="ExternalData_18" localSheetId="2">Data!$A$1:$A$24</definedName>
    <definedName name="ExternalData_180" localSheetId="2">Data!$A$1:$A$127</definedName>
    <definedName name="ExternalData_19" localSheetId="2">Data!$A$1:$A$24</definedName>
    <definedName name="ExternalData_20" localSheetId="2">Data!$A$1:$A$24</definedName>
    <definedName name="ExternalData_21" localSheetId="2">Data!$A$1:$A$24</definedName>
    <definedName name="ExternalData_22" localSheetId="2">Data!$A$1:$A$24</definedName>
    <definedName name="ExternalData_23" localSheetId="2">Data!$A$1:$A$24</definedName>
    <definedName name="ExternalData_24" localSheetId="2">Data!$A$1:$A$24</definedName>
    <definedName name="ExternalData_25" localSheetId="2">Data!$A$1:$A$24</definedName>
    <definedName name="ExternalData_26" localSheetId="2">Data!$A$1:$A$24</definedName>
    <definedName name="ExternalData_27" localSheetId="2">Data!$A$1:$A$24</definedName>
    <definedName name="ExternalData_28" localSheetId="2">Data!$A$1:$A$24</definedName>
    <definedName name="ExternalData_29" localSheetId="2">Data!$A$1:$A$24</definedName>
    <definedName name="ExternalData_3" localSheetId="2">Data!$A$1:$A$24</definedName>
    <definedName name="ExternalData_30" localSheetId="2">Data!$A$1:$A$24</definedName>
    <definedName name="ExternalData_31" localSheetId="2">Data!$A$1:$A$24</definedName>
    <definedName name="ExternalData_32" localSheetId="2">Data!$A$1:$A$24</definedName>
    <definedName name="ExternalData_33" localSheetId="2">Data!$A$1:$A$25</definedName>
    <definedName name="ExternalData_34" localSheetId="2">Data!$A$1:$A$25</definedName>
    <definedName name="ExternalData_35" localSheetId="2">Data!$A$1:$A$25</definedName>
    <definedName name="ExternalData_36" localSheetId="2">Data!$A$1:$A$25</definedName>
    <definedName name="ExternalData_37" localSheetId="2">Data!$A$1:$A$25</definedName>
    <definedName name="ExternalData_38" localSheetId="2">Data!$A$1:$A$25</definedName>
    <definedName name="ExternalData_39" localSheetId="2">Data!$A$1:$A$25</definedName>
    <definedName name="ExternalData_4" localSheetId="2">Data!$A$1:$A$24</definedName>
    <definedName name="ExternalData_40" localSheetId="2">Data!$A$1:$A$25</definedName>
    <definedName name="ExternalData_41" localSheetId="2">Data!$A$1:$A$25</definedName>
    <definedName name="ExternalData_42" localSheetId="2">Data!$A$1:$A$109</definedName>
    <definedName name="ExternalData_43" localSheetId="2">Data!$A$1:$A$25</definedName>
    <definedName name="ExternalData_44" localSheetId="2">Data!$A$1:$A$25</definedName>
    <definedName name="ExternalData_45" localSheetId="2">Data!$A$1:$A$24</definedName>
    <definedName name="ExternalData_46" localSheetId="2">Data!$A$1:$A$24</definedName>
    <definedName name="ExternalData_47" localSheetId="2">Data!$A$1:$A$24</definedName>
    <definedName name="ExternalData_48" localSheetId="2">Data!$A$1:$A$24</definedName>
    <definedName name="ExternalData_49" localSheetId="2">Data!$A$1:$A$24</definedName>
    <definedName name="ExternalData_5" localSheetId="2">Data!$A$1:$A$24</definedName>
    <definedName name="ExternalData_50" localSheetId="2">Data!$A$1:$A$24</definedName>
    <definedName name="ExternalData_51" localSheetId="2">Data!$A$1:$A$24</definedName>
    <definedName name="ExternalData_52" localSheetId="2">Data!$A$1:$A$24</definedName>
    <definedName name="ExternalData_53" localSheetId="2">Data!$A$1:$A$24</definedName>
    <definedName name="ExternalData_54" localSheetId="2">Data!$A$1:$A$24</definedName>
    <definedName name="ExternalData_55" localSheetId="2">Data!$A$1:$A$24</definedName>
    <definedName name="ExternalData_56" localSheetId="2">Data!$A$1:$A$24</definedName>
    <definedName name="ExternalData_57" localSheetId="2">Data!$A$1:$A$24</definedName>
    <definedName name="ExternalData_58" localSheetId="2">Data!$A$1:$A$45</definedName>
    <definedName name="ExternalData_59" localSheetId="2">Data!$A$1:$A$45</definedName>
    <definedName name="ExternalData_6" localSheetId="2">Data!$A$1:$A$24</definedName>
    <definedName name="ExternalData_60" localSheetId="2">Data!$A$1:$A$45</definedName>
    <definedName name="ExternalData_61" localSheetId="2">Data!$A$1:$A$45</definedName>
    <definedName name="ExternalData_62" localSheetId="2">Data!$A$1:$A$45</definedName>
    <definedName name="ExternalData_63" localSheetId="2">Data!$A$1:$A$24</definedName>
    <definedName name="ExternalData_64" localSheetId="2">Data!$A$1:$A$24</definedName>
    <definedName name="ExternalData_65" localSheetId="2">Data!$A$1:$A$24</definedName>
    <definedName name="ExternalData_66" localSheetId="2">Data!$A$1:$A$24</definedName>
    <definedName name="ExternalData_67" localSheetId="2">Data!$A$1:$A$24</definedName>
    <definedName name="ExternalData_68" localSheetId="2">Data!$A$1:$A$24</definedName>
    <definedName name="ExternalData_69" localSheetId="2">Data!$A$1:$A$24</definedName>
    <definedName name="ExternalData_7" localSheetId="2">Data!$A$1:$A$24</definedName>
    <definedName name="ExternalData_70" localSheetId="2">Data!$A$1:$A$24</definedName>
    <definedName name="ExternalData_71" localSheetId="2">Data!$A$1:$A$24</definedName>
    <definedName name="ExternalData_72" localSheetId="2">Data!$A$1:$A$24</definedName>
    <definedName name="ExternalData_73" localSheetId="2">Data!$A$1:$A$24</definedName>
    <definedName name="ExternalData_74" localSheetId="2">Data!$A$1:$A$23</definedName>
    <definedName name="ExternalData_75" localSheetId="2">Data!$A$1:$A$23</definedName>
    <definedName name="ExternalData_76" localSheetId="2">Data!$A$1:$A$23</definedName>
    <definedName name="ExternalData_77" localSheetId="2">Data!$A$1:$A$23</definedName>
    <definedName name="ExternalData_78" localSheetId="2">Data!$A$1:$A$23</definedName>
    <definedName name="ExternalData_79" localSheetId="2">Data!$A$1:$A$23</definedName>
    <definedName name="ExternalData_8" localSheetId="2">Data!$A$1:$A$24</definedName>
    <definedName name="ExternalData_80" localSheetId="2">Data!$A$1:$A$23</definedName>
    <definedName name="ExternalData_81" localSheetId="2">Data!$A$1:$A$23</definedName>
    <definedName name="ExternalData_82" localSheetId="2">Data!$A$1:$A$23</definedName>
    <definedName name="ExternalData_83" localSheetId="2">Data!$A$1:$A$23</definedName>
    <definedName name="ExternalData_84" localSheetId="2">Data!$A$1:$A$23</definedName>
    <definedName name="ExternalData_85" localSheetId="2">Data!$A$1:$A$23</definedName>
    <definedName name="ExternalData_86" localSheetId="2">Data!$A$1:$A$23</definedName>
    <definedName name="ExternalData_87" localSheetId="2">Data!$A$1:$A$23</definedName>
    <definedName name="ExternalData_88" localSheetId="2">Data!$A$1:$A$23</definedName>
    <definedName name="ExternalData_89" localSheetId="2">Data!$A$1:$A$23</definedName>
    <definedName name="ExternalData_9" localSheetId="2">Data!$A$1:$A$24</definedName>
    <definedName name="ExternalData_90" localSheetId="2">Data!$A$1:$A$23</definedName>
    <definedName name="ExternalData_91" localSheetId="2">Data!$A$1:$A$23</definedName>
    <definedName name="ExternalData_92" localSheetId="2">Data!$A$1:$A$23</definedName>
    <definedName name="ExternalData_93" localSheetId="2">Data!$A$1:$A$23</definedName>
    <definedName name="ExternalData_94" localSheetId="2">Data!$A$1:$A$23</definedName>
    <definedName name="ExternalData_95" localSheetId="2">Data!$A$1:$A$23</definedName>
    <definedName name="ExternalData_96" localSheetId="2">Data!$A$1:$A$23</definedName>
    <definedName name="ExternalData_97" localSheetId="2">Data!$A$1:$A$23</definedName>
    <definedName name="ExternalData_98" localSheetId="2">Data!$A$1:$A$23</definedName>
    <definedName name="ExternalData_99" localSheetId="2">Data!$A$1:$A$23</definedName>
    <definedName name="smaPeriod">Chart!#REF!</definedName>
    <definedName name="stochasticPeriod">Chart!$C$7</definedName>
    <definedName name="symbol">Chart!$C$4</definedName>
  </definedNames>
  <calcPr calcId="145621"/>
</workbook>
</file>

<file path=xl/calcChain.xml><?xml version="1.0" encoding="utf-8"?>
<calcChain xmlns="http://schemas.openxmlformats.org/spreadsheetml/2006/main">
  <c r="C5" i="1" l="1"/>
  <c r="L19" i="2" l="1"/>
  <c r="K17" i="2"/>
  <c r="J15" i="2"/>
  <c r="J18" i="2" l="1"/>
  <c r="J25" i="2"/>
  <c r="J66" i="2"/>
  <c r="J74" i="2"/>
  <c r="J82" i="2"/>
  <c r="K84" i="2" s="1"/>
  <c r="J106" i="2"/>
  <c r="J113" i="2"/>
  <c r="J114" i="2"/>
  <c r="K116" i="2" s="1"/>
  <c r="I16" i="2"/>
  <c r="J16" i="2" s="1"/>
  <c r="I17" i="2"/>
  <c r="I18" i="2"/>
  <c r="I19" i="2"/>
  <c r="J19" i="2" s="1"/>
  <c r="I20" i="2"/>
  <c r="J20" i="2" s="1"/>
  <c r="K22" i="2" s="1"/>
  <c r="I21" i="2"/>
  <c r="J21" i="2" s="1"/>
  <c r="K23" i="2" s="1"/>
  <c r="I22" i="2"/>
  <c r="J22" i="2" s="1"/>
  <c r="I23" i="2"/>
  <c r="J23" i="2" s="1"/>
  <c r="I24" i="2"/>
  <c r="J24" i="2" s="1"/>
  <c r="I25" i="2"/>
  <c r="I26" i="2"/>
  <c r="J26" i="2" s="1"/>
  <c r="K28" i="2" s="1"/>
  <c r="I27" i="2"/>
  <c r="J27" i="2" s="1"/>
  <c r="I28" i="2"/>
  <c r="J28" i="2" s="1"/>
  <c r="K30" i="2" s="1"/>
  <c r="I29" i="2"/>
  <c r="J29" i="2" s="1"/>
  <c r="K31" i="2" s="1"/>
  <c r="I30" i="2"/>
  <c r="J30" i="2" s="1"/>
  <c r="I31" i="2"/>
  <c r="J31" i="2" s="1"/>
  <c r="I32" i="2"/>
  <c r="J32" i="2" s="1"/>
  <c r="I33" i="2"/>
  <c r="I34" i="2"/>
  <c r="J34" i="2" s="1"/>
  <c r="K36" i="2" s="1"/>
  <c r="I35" i="2"/>
  <c r="J35" i="2" s="1"/>
  <c r="I36" i="2"/>
  <c r="J36" i="2" s="1"/>
  <c r="I37" i="2"/>
  <c r="J37" i="2" s="1"/>
  <c r="K39" i="2" s="1"/>
  <c r="I38" i="2"/>
  <c r="J38" i="2" s="1"/>
  <c r="I39" i="2"/>
  <c r="J39" i="2" s="1"/>
  <c r="I40" i="2"/>
  <c r="J40" i="2" s="1"/>
  <c r="I41" i="2"/>
  <c r="I42" i="2"/>
  <c r="J42" i="2" s="1"/>
  <c r="K44" i="2" s="1"/>
  <c r="I43" i="2"/>
  <c r="J43" i="2" s="1"/>
  <c r="I44" i="2"/>
  <c r="J44" i="2" s="1"/>
  <c r="K46" i="2" s="1"/>
  <c r="I45" i="2"/>
  <c r="J45" i="2" s="1"/>
  <c r="K47" i="2" s="1"/>
  <c r="I46" i="2"/>
  <c r="J46" i="2" s="1"/>
  <c r="I47" i="2"/>
  <c r="J47" i="2" s="1"/>
  <c r="I48" i="2"/>
  <c r="J48" i="2" s="1"/>
  <c r="I49" i="2"/>
  <c r="I50" i="2"/>
  <c r="J50" i="2" s="1"/>
  <c r="K52" i="2" s="1"/>
  <c r="I51" i="2"/>
  <c r="J51" i="2" s="1"/>
  <c r="I52" i="2"/>
  <c r="J52" i="2" s="1"/>
  <c r="K54" i="2" s="1"/>
  <c r="I53" i="2"/>
  <c r="J53" i="2" s="1"/>
  <c r="K55" i="2" s="1"/>
  <c r="I54" i="2"/>
  <c r="J54" i="2" s="1"/>
  <c r="I55" i="2"/>
  <c r="J55" i="2" s="1"/>
  <c r="I56" i="2"/>
  <c r="J56" i="2" s="1"/>
  <c r="I57" i="2"/>
  <c r="I58" i="2"/>
  <c r="J58" i="2" s="1"/>
  <c r="K60" i="2" s="1"/>
  <c r="I59" i="2"/>
  <c r="J59" i="2" s="1"/>
  <c r="I60" i="2"/>
  <c r="J60" i="2" s="1"/>
  <c r="K62" i="2" s="1"/>
  <c r="I61" i="2"/>
  <c r="J61" i="2" s="1"/>
  <c r="K63" i="2" s="1"/>
  <c r="I62" i="2"/>
  <c r="J62" i="2" s="1"/>
  <c r="I63" i="2"/>
  <c r="J63" i="2" s="1"/>
  <c r="I64" i="2"/>
  <c r="J64" i="2" s="1"/>
  <c r="I65" i="2"/>
  <c r="I66" i="2"/>
  <c r="I67" i="2"/>
  <c r="J67" i="2" s="1"/>
  <c r="I68" i="2"/>
  <c r="J68" i="2" s="1"/>
  <c r="I69" i="2"/>
  <c r="J69" i="2" s="1"/>
  <c r="K71" i="2" s="1"/>
  <c r="I70" i="2"/>
  <c r="J70" i="2" s="1"/>
  <c r="I71" i="2"/>
  <c r="J71" i="2" s="1"/>
  <c r="I72" i="2"/>
  <c r="J72" i="2" s="1"/>
  <c r="I73" i="2"/>
  <c r="I74" i="2"/>
  <c r="I75" i="2"/>
  <c r="J75" i="2" s="1"/>
  <c r="I76" i="2"/>
  <c r="J76" i="2" s="1"/>
  <c r="K78" i="2" s="1"/>
  <c r="I77" i="2"/>
  <c r="J77" i="2" s="1"/>
  <c r="K79" i="2" s="1"/>
  <c r="I78" i="2"/>
  <c r="J78" i="2" s="1"/>
  <c r="I79" i="2"/>
  <c r="J79" i="2" s="1"/>
  <c r="I80" i="2"/>
  <c r="J80" i="2" s="1"/>
  <c r="I81" i="2"/>
  <c r="I82" i="2"/>
  <c r="I83" i="2"/>
  <c r="J83" i="2" s="1"/>
  <c r="I84" i="2"/>
  <c r="J84" i="2" s="1"/>
  <c r="K86" i="2" s="1"/>
  <c r="I85" i="2"/>
  <c r="J85" i="2" s="1"/>
  <c r="K87" i="2" s="1"/>
  <c r="I86" i="2"/>
  <c r="J86" i="2" s="1"/>
  <c r="I87" i="2"/>
  <c r="J87" i="2" s="1"/>
  <c r="I88" i="2"/>
  <c r="J88" i="2" s="1"/>
  <c r="I89" i="2"/>
  <c r="J89" i="2" s="1"/>
  <c r="I90" i="2"/>
  <c r="J90" i="2" s="1"/>
  <c r="K92" i="2" s="1"/>
  <c r="I91" i="2"/>
  <c r="J91" i="2" s="1"/>
  <c r="I92" i="2"/>
  <c r="J92" i="2" s="1"/>
  <c r="K94" i="2" s="1"/>
  <c r="I93" i="2"/>
  <c r="J93" i="2" s="1"/>
  <c r="K95" i="2" s="1"/>
  <c r="I94" i="2"/>
  <c r="J94" i="2" s="1"/>
  <c r="I95" i="2"/>
  <c r="J95" i="2" s="1"/>
  <c r="I96" i="2"/>
  <c r="J96" i="2" s="1"/>
  <c r="I97" i="2"/>
  <c r="I98" i="2"/>
  <c r="J98" i="2" s="1"/>
  <c r="K100" i="2" s="1"/>
  <c r="I99" i="2"/>
  <c r="J99" i="2" s="1"/>
  <c r="I100" i="2"/>
  <c r="J100" i="2" s="1"/>
  <c r="I101" i="2"/>
  <c r="J101" i="2" s="1"/>
  <c r="K103" i="2" s="1"/>
  <c r="I102" i="2"/>
  <c r="J102" i="2" s="1"/>
  <c r="I103" i="2"/>
  <c r="J103" i="2" s="1"/>
  <c r="I104" i="2"/>
  <c r="J104" i="2" s="1"/>
  <c r="I105" i="2"/>
  <c r="I106" i="2"/>
  <c r="I107" i="2"/>
  <c r="J107" i="2" s="1"/>
  <c r="I108" i="2"/>
  <c r="J108" i="2" s="1"/>
  <c r="K110" i="2" s="1"/>
  <c r="I109" i="2"/>
  <c r="J109" i="2" s="1"/>
  <c r="K111" i="2" s="1"/>
  <c r="I110" i="2"/>
  <c r="J110" i="2" s="1"/>
  <c r="I111" i="2"/>
  <c r="J111" i="2" s="1"/>
  <c r="I112" i="2"/>
  <c r="J112" i="2" s="1"/>
  <c r="K114" i="2" s="1"/>
  <c r="I113" i="2"/>
  <c r="I114" i="2"/>
  <c r="I115" i="2"/>
  <c r="J115" i="2" s="1"/>
  <c r="I116" i="2"/>
  <c r="J116" i="2" s="1"/>
  <c r="K118" i="2" s="1"/>
  <c r="I117" i="2"/>
  <c r="J117" i="2" s="1"/>
  <c r="K119" i="2" s="1"/>
  <c r="I118" i="2"/>
  <c r="J118" i="2" s="1"/>
  <c r="I119" i="2"/>
  <c r="J119" i="2" s="1"/>
  <c r="I120" i="2"/>
  <c r="J120" i="2" s="1"/>
  <c r="I121" i="2"/>
  <c r="J121" i="2" s="1"/>
  <c r="I122" i="2"/>
  <c r="J122" i="2" s="1"/>
  <c r="K124" i="2" s="1"/>
  <c r="I123" i="2"/>
  <c r="J123" i="2" s="1"/>
  <c r="I124" i="2"/>
  <c r="J124" i="2" s="1"/>
  <c r="K126" i="2" s="1"/>
  <c r="I125" i="2"/>
  <c r="J125" i="2" s="1"/>
  <c r="I126" i="2"/>
  <c r="J126" i="2" s="1"/>
  <c r="I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J97" i="2" s="1"/>
  <c r="H98" i="2"/>
  <c r="H99" i="2"/>
  <c r="H100" i="2"/>
  <c r="H101" i="2"/>
  <c r="H102" i="2"/>
  <c r="H103" i="2"/>
  <c r="H104" i="2"/>
  <c r="H105" i="2"/>
  <c r="J105" i="2" s="1"/>
  <c r="K107" i="2" s="1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5" i="2"/>
  <c r="C6" i="1"/>
  <c r="L126" i="2" l="1"/>
  <c r="L54" i="2"/>
  <c r="L38" i="2"/>
  <c r="K123" i="2"/>
  <c r="K91" i="2"/>
  <c r="K122" i="2"/>
  <c r="L124" i="2" s="1"/>
  <c r="L116" i="2"/>
  <c r="K106" i="2"/>
  <c r="K90" i="2"/>
  <c r="L92" i="2" s="1"/>
  <c r="K58" i="2"/>
  <c r="L60" i="2" s="1"/>
  <c r="K26" i="2"/>
  <c r="L28" i="2" s="1"/>
  <c r="K99" i="2"/>
  <c r="L101" i="2" s="1"/>
  <c r="K98" i="2"/>
  <c r="L112" i="2"/>
  <c r="L88" i="2"/>
  <c r="L80" i="2"/>
  <c r="L24" i="2"/>
  <c r="K38" i="2"/>
  <c r="K117" i="2"/>
  <c r="L119" i="2" s="1"/>
  <c r="K85" i="2"/>
  <c r="L87" i="2" s="1"/>
  <c r="K61" i="2"/>
  <c r="L63" i="2" s="1"/>
  <c r="K37" i="2"/>
  <c r="K68" i="2"/>
  <c r="K18" i="2"/>
  <c r="L20" i="2" s="1"/>
  <c r="K121" i="2"/>
  <c r="L123" i="2" s="1"/>
  <c r="K113" i="2"/>
  <c r="K105" i="2"/>
  <c r="L107" i="2" s="1"/>
  <c r="K97" i="2"/>
  <c r="L99" i="2" s="1"/>
  <c r="K89" i="2"/>
  <c r="K73" i="2"/>
  <c r="K57" i="2"/>
  <c r="L59" i="2" s="1"/>
  <c r="K33" i="2"/>
  <c r="K25" i="2"/>
  <c r="L113" i="2"/>
  <c r="K27" i="2"/>
  <c r="L29" i="2" s="1"/>
  <c r="K115" i="2"/>
  <c r="L117" i="2" s="1"/>
  <c r="K20" i="2"/>
  <c r="L22" i="2" s="1"/>
  <c r="K101" i="2"/>
  <c r="K77" i="2"/>
  <c r="L79" i="2" s="1"/>
  <c r="K45" i="2"/>
  <c r="L47" i="2" s="1"/>
  <c r="K29" i="2"/>
  <c r="L31" i="2" s="1"/>
  <c r="K120" i="2"/>
  <c r="L122" i="2" s="1"/>
  <c r="K112" i="2"/>
  <c r="L114" i="2" s="1"/>
  <c r="K104" i="2"/>
  <c r="L106" i="2" s="1"/>
  <c r="K96" i="2"/>
  <c r="L98" i="2" s="1"/>
  <c r="K88" i="2"/>
  <c r="K80" i="2"/>
  <c r="K72" i="2"/>
  <c r="K64" i="2"/>
  <c r="K56" i="2"/>
  <c r="L58" i="2" s="1"/>
  <c r="K48" i="2"/>
  <c r="K40" i="2"/>
  <c r="K32" i="2"/>
  <c r="K24" i="2"/>
  <c r="L25" i="2" s="1"/>
  <c r="L121" i="2"/>
  <c r="L89" i="2"/>
  <c r="L118" i="2"/>
  <c r="K102" i="2"/>
  <c r="K109" i="2"/>
  <c r="L111" i="2" s="1"/>
  <c r="K69" i="2"/>
  <c r="L71" i="2" s="1"/>
  <c r="K21" i="2"/>
  <c r="L23" i="2" s="1"/>
  <c r="K70" i="2"/>
  <c r="K76" i="2"/>
  <c r="K125" i="2"/>
  <c r="K93" i="2"/>
  <c r="L95" i="2" s="1"/>
  <c r="K53" i="2"/>
  <c r="L55" i="2" s="1"/>
  <c r="K108" i="2"/>
  <c r="L110" i="2" s="1"/>
  <c r="J81" i="2"/>
  <c r="K83" i="2" s="1"/>
  <c r="L85" i="2" s="1"/>
  <c r="J73" i="2"/>
  <c r="K75" i="2" s="1"/>
  <c r="J65" i="2"/>
  <c r="J57" i="2"/>
  <c r="K59" i="2" s="1"/>
  <c r="J49" i="2"/>
  <c r="K51" i="2" s="1"/>
  <c r="L53" i="2" s="1"/>
  <c r="J41" i="2"/>
  <c r="K43" i="2" s="1"/>
  <c r="J33" i="2"/>
  <c r="J17" i="2"/>
  <c r="K19" i="2" s="1"/>
  <c r="K41" i="2" l="1"/>
  <c r="L32" i="2"/>
  <c r="L120" i="2"/>
  <c r="K42" i="2"/>
  <c r="L44" i="2" s="1"/>
  <c r="L61" i="2"/>
  <c r="L78" i="2"/>
  <c r="L104" i="2"/>
  <c r="K49" i="2"/>
  <c r="L51" i="2" s="1"/>
  <c r="L115" i="2"/>
  <c r="L48" i="2"/>
  <c r="L100" i="2"/>
  <c r="K50" i="2"/>
  <c r="L52" i="2" s="1"/>
  <c r="L93" i="2"/>
  <c r="L45" i="2"/>
  <c r="K67" i="2"/>
  <c r="L69" i="2" s="1"/>
  <c r="K66" i="2"/>
  <c r="L68" i="2" s="1"/>
  <c r="L72" i="2"/>
  <c r="L33" i="2"/>
  <c r="L40" i="2"/>
  <c r="L56" i="2"/>
  <c r="L125" i="2"/>
  <c r="L77" i="2"/>
  <c r="L49" i="2"/>
  <c r="L57" i="2"/>
  <c r="K65" i="2"/>
  <c r="L86" i="2"/>
  <c r="L64" i="2"/>
  <c r="L30" i="2"/>
  <c r="K74" i="2"/>
  <c r="L76" i="2" s="1"/>
  <c r="L109" i="2"/>
  <c r="L46" i="2"/>
  <c r="K82" i="2"/>
  <c r="L84" i="2" s="1"/>
  <c r="L21" i="2"/>
  <c r="L97" i="2"/>
  <c r="K81" i="2"/>
  <c r="L70" i="2"/>
  <c r="L73" i="2"/>
  <c r="L62" i="2"/>
  <c r="K35" i="2"/>
  <c r="L37" i="2" s="1"/>
  <c r="K34" i="2"/>
  <c r="L35" i="2" s="1"/>
  <c r="L26" i="2"/>
  <c r="L90" i="2"/>
  <c r="L103" i="2"/>
  <c r="L27" i="2"/>
  <c r="L91" i="2"/>
  <c r="L39" i="2"/>
  <c r="L105" i="2"/>
  <c r="L96" i="2"/>
  <c r="L102" i="2"/>
  <c r="L108" i="2"/>
  <c r="L94" i="2"/>
  <c r="L83" i="2" l="1"/>
  <c r="L81" i="2"/>
  <c r="L75" i="2"/>
  <c r="L67" i="2"/>
  <c r="L65" i="2"/>
  <c r="L74" i="2"/>
  <c r="L66" i="2"/>
  <c r="L82" i="2"/>
  <c r="L43" i="2"/>
  <c r="L41" i="2"/>
  <c r="L50" i="2"/>
  <c r="L42" i="2"/>
  <c r="L36" i="2"/>
  <c r="L34" i="2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ichart.yahoo.com/table.csv?s=^GSPC&amp;a=8&amp;b=3&amp;c=2014&amp;d=9&amp;e=3&amp;f=2014&amp;g=&amp;y=0&amp;z=^GSPC&amp;x=.csv" htmlTables="1" htmlFormat="all"/>
  </connection>
  <connection id="2" name="Connection1" type="4" refreshedVersion="0" background="1">
    <webPr url="http://ichart.yahoo.com/table.csv?s=^GSPC&amp;a=8&amp;b=3&amp;c=2014&amp;d=9&amp;e=3&amp;f=2014&amp;g=&amp;y=0&amp;z=^GSPC&amp;x=.csv" htmlTables="1" htmlFormat="all"/>
  </connection>
  <connection id="3" name="Connection10" type="4" refreshedVersion="4" background="1" saveData="1">
    <webPr xl2000="1" url="http://ichart.yahoo.com/table.csv?s=^GSPC&amp;a=8&amp;b=3&amp;c=2014&amp;d=9&amp;e=3&amp;f=2014&amp;g=&amp;y=0&amp;z=^GSPC&amp;x=.csv"/>
  </connection>
  <connection id="4" name="Connection100" type="4" refreshedVersion="4" background="1" saveData="1">
    <webPr xl2000="1" url="http://ichart.yahoo.com/table.csv?s=^GSPC&amp;a=8&amp;b=5&amp;c=2014&amp;d=9&amp;e=5&amp;f=2014&amp;g=&amp;y=0&amp;z=^GSPC&amp;x=.csv"/>
  </connection>
  <connection id="5" name="Connection101" type="4" refreshedVersion="4" background="1" saveData="1">
    <webPr xl2000="1" url="http://ichart.yahoo.com/table.csv?s=^GSPC&amp;a=8&amp;b=5&amp;c=2014&amp;d=9&amp;e=5&amp;f=2014&amp;g=&amp;y=0&amp;z=^GSPC&amp;x=.csv"/>
  </connection>
  <connection id="6" name="Connection102" type="4" refreshedVersion="4" background="1" saveData="1">
    <webPr xl2000="1" url="http://ichart.yahoo.com/table.csv?s=^GSPC&amp;a=8&amp;b=5&amp;c=2014&amp;d=9&amp;e=5&amp;f=2014&amp;g=&amp;y=0&amp;z=^GSPC&amp;x=.csv"/>
  </connection>
  <connection id="7" name="Connection103" type="4" refreshedVersion="4" background="1" saveData="1">
    <webPr xl2000="1" url="http://ichart.yahoo.com/table.csv?s=^GSPC&amp;a=8&amp;b=5&amp;c=2014&amp;d=9&amp;e=5&amp;f=2014&amp;g=&amp;y=0&amp;z=^GSPC&amp;x=.csv"/>
  </connection>
  <connection id="8" name="Connection104" type="4" refreshedVersion="4" background="1" saveData="1">
    <webPr xl2000="1" url="http://ichart.yahoo.com/table.csv?s=^GSPC&amp;a=8&amp;b=5&amp;c=2014&amp;d=9&amp;e=5&amp;f=2014&amp;g=&amp;y=0&amp;z=^GSPC&amp;x=.csv"/>
  </connection>
  <connection id="9" name="Connection105" type="4" refreshedVersion="4" background="1" saveData="1">
    <webPr xl2000="1" url="http://ichart.yahoo.com/table.csv?s=^GSPC&amp;a=8&amp;b=5&amp;c=2014&amp;d=9&amp;e=5&amp;f=2014&amp;g=&amp;y=0&amp;z=^GSPC&amp;x=.csv"/>
  </connection>
  <connection id="10" name="Connection106" type="4" refreshedVersion="4" background="1" saveData="1">
    <webPr xl2000="1" url="http://ichart.yahoo.com/table.csv?s=^GSPC&amp;a=8&amp;b=5&amp;c=2014&amp;d=9&amp;e=5&amp;f=2014&amp;g=&amp;y=0&amp;z=^GSPC&amp;x=.csv"/>
  </connection>
  <connection id="11" name="Connection107" type="4" refreshedVersion="4" background="1" saveData="1">
    <webPr xl2000="1" url="http://ichart.yahoo.com/table.csv?s=^GSPC&amp;a=8&amp;b=5&amp;c=2014&amp;d=9&amp;e=5&amp;f=2014&amp;g=&amp;y=0&amp;z=^GSPC&amp;x=.csv"/>
  </connection>
  <connection id="12" name="Connection108" type="4" refreshedVersion="4" background="1" saveData="1">
    <webPr xl2000="1" url="http://ichart.yahoo.com/table.csv?s=^GSPC&amp;a=8&amp;b=5&amp;c=2014&amp;d=9&amp;e=5&amp;f=2014&amp;g=&amp;y=0&amp;z=^GSPC&amp;x=.csv"/>
  </connection>
  <connection id="13" name="Connection109" type="4" refreshedVersion="4" background="1" saveData="1">
    <webPr xl2000="1" url="http://ichart.yahoo.com/table.csv?s=^GSPC&amp;a=8&amp;b=5&amp;c=2014&amp;d=9&amp;e=5&amp;f=2014&amp;g=&amp;y=0&amp;z=^GSPC&amp;x=.csv"/>
  </connection>
  <connection id="14" name="Connection11" type="4" refreshedVersion="4" background="1" saveData="1">
    <webPr xl2000="1" url="http://ichart.yahoo.com/table.csv?s=^GSPC&amp;a=8&amp;b=3&amp;c=2014&amp;d=9&amp;e=3&amp;f=2014&amp;g=&amp;y=0&amp;z=^GSPC&amp;x=.csv"/>
  </connection>
  <connection id="15" name="Connection110" type="4" refreshedVersion="4" background="1" saveData="1">
    <webPr xl2000="1" url="http://ichart.yahoo.com/table.csv?s=^GSPC&amp;a=8&amp;b=5&amp;c=2014&amp;d=9&amp;e=5&amp;f=2014&amp;g=&amp;y=0&amp;z=^GSPC&amp;x=.csv"/>
  </connection>
  <connection id="16" name="Connection111" type="4" refreshedVersion="4" background="1" saveData="1">
    <webPr xl2000="1" url="http://ichart.yahoo.com/table.csv?s=^GSPC&amp;a=8&amp;b=5&amp;c=2014&amp;d=9&amp;e=5&amp;f=2014&amp;g=&amp;y=0&amp;z=^GSPC&amp;x=.csv"/>
  </connection>
  <connection id="17" name="Connection112" type="4" refreshedVersion="4" background="1" saveData="1">
    <webPr xl2000="1" url="http://ichart.yahoo.com/table.csv?s=^GSPC&amp;a=8&amp;b=5&amp;c=2014&amp;d=9&amp;e=5&amp;f=2014&amp;g=&amp;y=0&amp;z=^GSPC&amp;x=.csv"/>
  </connection>
  <connection id="18" name="Connection113" type="4" refreshedVersion="4" background="1" saveData="1">
    <webPr xl2000="1" url="http://ichart.yahoo.com/table.csv?s=^GSPC&amp;a=8&amp;b=5&amp;c=2014&amp;d=9&amp;e=5&amp;f=2014&amp;g=&amp;y=0&amp;z=^GSPC&amp;x=.csv"/>
  </connection>
  <connection id="19" name="Connection114" type="4" refreshedVersion="4" background="1" saveData="1">
    <webPr xl2000="1" url="http://ichart.yahoo.com/table.csv?s=^GSPC&amp;a=8&amp;b=5&amp;c=2014&amp;d=9&amp;e=5&amp;f=2014&amp;g=&amp;y=0&amp;z=^GSPC&amp;x=.csv"/>
  </connection>
  <connection id="20" name="Connection115" type="4" refreshedVersion="4" background="1" saveData="1">
    <webPr xl2000="1" url="http://ichart.yahoo.com/table.csv?s=^GSPC&amp;a=8&amp;b=5&amp;c=2014&amp;d=9&amp;e=5&amp;f=2014&amp;g=&amp;y=0&amp;z=^GSPC&amp;x=.csv"/>
  </connection>
  <connection id="21" name="Connection116" type="4" refreshedVersion="4" background="1" saveData="1">
    <webPr xl2000="1" url="http://ichart.yahoo.com/table.csv?s=^GSPC&amp;a=8&amp;b=5&amp;c=2014&amp;d=9&amp;e=5&amp;f=2014&amp;g=&amp;y=0&amp;z=^GSPC&amp;x=.csv"/>
  </connection>
  <connection id="22" name="Connection117" type="4" refreshedVersion="4" background="1" saveData="1">
    <webPr xl2000="1" url="http://ichart.yahoo.com/table.csv?s=^GSPC&amp;a=8&amp;b=5&amp;c=2014&amp;d=9&amp;e=5&amp;f=2014&amp;g=&amp;y=0&amp;z=^GSPC&amp;x=.csv"/>
  </connection>
  <connection id="23" name="Connection118" type="4" refreshedVersion="4" background="1" saveData="1">
    <webPr xl2000="1" url="http://ichart.yahoo.com/table.csv?s=^GSPC&amp;a=8&amp;b=5&amp;c=2014&amp;d=9&amp;e=5&amp;f=2014&amp;g=&amp;y=0&amp;z=^GSPC&amp;x=.csv"/>
  </connection>
  <connection id="24" name="Connection119" type="4" refreshedVersion="4" background="1" saveData="1">
    <webPr xl2000="1" url="http://ichart.yahoo.com/table.csv?s=^GSPC&amp;a=8&amp;b=5&amp;c=2014&amp;d=9&amp;e=5&amp;f=2014&amp;g=&amp;y=0&amp;z=^GSPC&amp;x=.csv"/>
  </connection>
  <connection id="25" name="Connection12" type="4" refreshedVersion="4" background="1" saveData="1">
    <webPr xl2000="1" url="http://ichart.yahoo.com/table.csv?s=^GSPC&amp;a=8&amp;b=3&amp;c=2014&amp;d=9&amp;e=3&amp;f=2014&amp;g=&amp;y=0&amp;z=^GSPC&amp;x=.csv"/>
  </connection>
  <connection id="26" name="Connection120" type="4" refreshedVersion="4" background="1" saveData="1">
    <webPr xl2000="1" url="http://ichart.yahoo.com/table.csv?s=^GSPC&amp;a=8&amp;b=5&amp;c=2014&amp;d=9&amp;e=5&amp;f=2014&amp;g=&amp;y=0&amp;z=^GSPC&amp;x=.csv"/>
  </connection>
  <connection id="27" name="Connection121" type="4" refreshedVersion="4" background="1" saveData="1">
    <webPr xl2000="1" url="http://ichart.yahoo.com/table.csv?s=^GSPC&amp;a=8&amp;b=5&amp;c=2014&amp;d=9&amp;e=5&amp;f=2014&amp;g=&amp;y=0&amp;z=^GSPC&amp;x=.csv"/>
  </connection>
  <connection id="28" name="Connection122" type="4" refreshedVersion="4" background="1" saveData="1">
    <webPr xl2000="1" url="http://ichart.yahoo.com/table.csv?s=^GSPC&amp;a=8&amp;b=5&amp;c=2014&amp;d=9&amp;e=5&amp;f=2014&amp;g=&amp;y=0&amp;z=^GSPC&amp;x=.csv"/>
  </connection>
  <connection id="29" name="Connection123" type="4" refreshedVersion="4" background="1" saveData="1">
    <webPr xl2000="1" url="http://ichart.yahoo.com/table.csv?s=^GSPC&amp;a=8&amp;b=5&amp;c=2014&amp;d=9&amp;e=5&amp;f=2014&amp;g=&amp;y=0&amp;z=^GSPC&amp;x=.csv"/>
  </connection>
  <connection id="30" name="Connection124" type="4" refreshedVersion="4" background="1" saveData="1">
    <webPr xl2000="1" url="http://ichart.yahoo.com/table.csv?s=^GSPC&amp;a=8&amp;b=5&amp;c=2014&amp;d=9&amp;e=5&amp;f=2014&amp;g=&amp;y=0&amp;z=^GSPC&amp;x=.csv"/>
  </connection>
  <connection id="31" name="Connection125" type="4" refreshedVersion="4" background="1" saveData="1">
    <webPr xl2000="1" url="http://ichart.yahoo.com/table.csv?s=^GSPC&amp;a=8&amp;b=5&amp;c=2014&amp;d=9&amp;e=5&amp;f=2014&amp;g=&amp;y=0&amp;z=^GSPC&amp;x=.csv"/>
  </connection>
  <connection id="32" name="Connection126" type="4" refreshedVersion="4" background="1" saveData="1">
    <webPr xl2000="1" url="http://ichart.yahoo.com/table.csv?s=^GSPC&amp;a=8&amp;b=5&amp;c=2014&amp;d=9&amp;e=5&amp;f=2014&amp;g=&amp;y=0&amp;z=^GSPC&amp;x=.csv"/>
  </connection>
  <connection id="33" name="Connection127" type="4" refreshedVersion="4" background="1" saveData="1">
    <webPr xl2000="1" url="http://ichart.yahoo.com/table.csv?s=^GSPC&amp;a=8&amp;b=5&amp;c=2014&amp;d=9&amp;e=5&amp;f=2014&amp;g=&amp;y=0&amp;z=^GSPC&amp;x=.csv"/>
  </connection>
  <connection id="34" name="Connection128" type="4" refreshedVersion="4" background="1" saveData="1">
    <webPr xl2000="1" url="http://ichart.yahoo.com/table.csv?s=^GSPC&amp;a=8&amp;b=5&amp;c=2014&amp;d=9&amp;e=5&amp;f=2014&amp;g=&amp;y=0&amp;z=^GSPC&amp;x=.csv"/>
  </connection>
  <connection id="35" name="Connection129" type="4" refreshedVersion="4" background="1" saveData="1">
    <webPr xl2000="1" url="http://ichart.yahoo.com/table.csv?s=^GSPC&amp;a=8&amp;b=5&amp;c=2014&amp;d=9&amp;e=5&amp;f=2014&amp;g=&amp;y=0&amp;z=^GSPC&amp;x=.csv"/>
  </connection>
  <connection id="36" name="Connection13" type="4" refreshedVersion="4" background="1" saveData="1">
    <webPr xl2000="1" url="http://ichart.yahoo.com/table.csv?s=^GSPC&amp;a=8&amp;b=3&amp;c=2014&amp;d=9&amp;e=3&amp;f=2014&amp;g=&amp;y=0&amp;z=^GSPC&amp;x=.csv"/>
  </connection>
  <connection id="37" name="Connection130" type="4" refreshedVersion="4" background="1" saveData="1">
    <webPr xl2000="1" url="http://ichart.yahoo.com/table.csv?s=^GSPC&amp;a=8&amp;b=5&amp;c=2014&amp;d=9&amp;e=5&amp;f=2014&amp;g=&amp;y=0&amp;z=^GSPC&amp;x=.csv"/>
  </connection>
  <connection id="38" name="Connection131" type="4" refreshedVersion="4" background="1" saveData="1">
    <webPr xl2000="1" url="http://ichart.yahoo.com/table.csv?s=^GSPC&amp;a=8&amp;b=5&amp;c=2014&amp;d=9&amp;e=5&amp;f=2014&amp;g=&amp;y=0&amp;z=^GSPC&amp;x=.csv"/>
  </connection>
  <connection id="39" name="Connection132" type="4" refreshedVersion="4" background="1" saveData="1">
    <webPr xl2000="1" url="http://ichart.yahoo.com/table.csv?s=^GSPC&amp;a=8&amp;b=5&amp;c=2014&amp;d=9&amp;e=5&amp;f=2014&amp;g=&amp;y=0&amp;z=^GSPC&amp;x=.csv"/>
  </connection>
  <connection id="40" name="Connection133" type="4" refreshedVersion="4" background="1" saveData="1">
    <webPr xl2000="1" url="http://ichart.yahoo.com/table.csv?s=^GSPC&amp;a=8&amp;b=5&amp;c=2014&amp;d=9&amp;e=5&amp;f=2014&amp;g=&amp;y=0&amp;z=^GSPC&amp;x=.csv"/>
  </connection>
  <connection id="41" name="Connection134" type="4" refreshedVersion="4" background="1" saveData="1">
    <webPr xl2000="1" url="http://ichart.yahoo.com/table.csv?s=^GSPC&amp;a=8&amp;b=5&amp;c=2014&amp;d=9&amp;e=5&amp;f=2014&amp;g=&amp;y=0&amp;z=^GSPC&amp;x=.csv"/>
  </connection>
  <connection id="42" name="Connection135" type="4" refreshedVersion="4" background="1" saveData="1">
    <webPr xl2000="1" url="http://ichart.yahoo.com/table.csv?s=^GSPC&amp;a=8&amp;b=5&amp;c=2014&amp;d=9&amp;e=5&amp;f=2014&amp;g=&amp;y=0&amp;z=^GSPC&amp;x=.csv"/>
  </connection>
  <connection id="43" name="Connection136" type="4" refreshedVersion="4" background="1" saveData="1">
    <webPr xl2000="1" url="http://ichart.yahoo.com/table.csv?s=^GSPC&amp;a=8&amp;b=5&amp;c=2014&amp;d=9&amp;e=5&amp;f=2014&amp;g=&amp;y=0&amp;z=^GSPC&amp;x=.csv"/>
  </connection>
  <connection id="44" name="Connection137" type="4" refreshedVersion="4" background="1" saveData="1">
    <webPr xl2000="1" url="http://ichart.yahoo.com/table.csv?s=^GSPC&amp;a=8&amp;b=5&amp;c=2014&amp;d=9&amp;e=5&amp;f=2014&amp;g=&amp;y=0&amp;z=^GSPC&amp;x=.csv"/>
  </connection>
  <connection id="45" name="Connection138" type="4" refreshedVersion="4" background="1" saveData="1">
    <webPr xl2000="1" url="http://ichart.yahoo.com/table.csv?s=^GSPC&amp;a=8&amp;b=5&amp;c=2014&amp;d=9&amp;e=5&amp;f=2014&amp;g=&amp;y=0&amp;z=^GSPC&amp;x=.csv"/>
  </connection>
  <connection id="46" name="Connection139" type="4" refreshedVersion="4" background="1" saveData="1">
    <webPr xl2000="1" url="http://ichart.yahoo.com/table.csv?s=^GSPC&amp;a=8&amp;b=5&amp;c=2014&amp;d=9&amp;e=5&amp;f=2014&amp;g=&amp;y=0&amp;z=^GSPC&amp;x=.csv"/>
  </connection>
  <connection id="47" name="Connection14" type="4" refreshedVersion="4" background="1" saveData="1">
    <webPr xl2000="1" url="http://ichart.yahoo.com/table.csv?s=^GSPC&amp;a=8&amp;b=3&amp;c=2014&amp;d=9&amp;e=3&amp;f=2014&amp;g=&amp;y=0&amp;z=^GSPC&amp;x=.csv"/>
  </connection>
  <connection id="48" name="Connection140" type="4" refreshedVersion="4" background="1" saveData="1">
    <webPr xl2000="1" url="http://ichart.yahoo.com/table.csv?s=^GSPC&amp;a=8&amp;b=5&amp;c=2014&amp;d=9&amp;e=5&amp;f=2014&amp;g=&amp;y=0&amp;z=^GSPC&amp;x=.csv"/>
  </connection>
  <connection id="49" name="Connection141" type="4" refreshedVersion="4" background="1" saveData="1">
    <webPr xl2000="1" url="http://ichart.yahoo.com/table.csv?s=^GSPC&amp;a=8&amp;b=5&amp;c=2014&amp;d=9&amp;e=5&amp;f=2014&amp;g=&amp;y=0&amp;z=^GSPC&amp;x=.csv"/>
  </connection>
  <connection id="50" name="Connection142" type="4" refreshedVersion="4" background="1" saveData="1">
    <webPr xl2000="1" url="http://ichart.yahoo.com/table.csv?s=^GSPC&amp;a=3&amp;b=8&amp;c=2014&amp;d=9&amp;e=5&amp;f=2014&amp;g=&amp;y=0&amp;z=^GSPC&amp;x=.csv"/>
  </connection>
  <connection id="51" name="Connection143" type="4" refreshedVersion="4" background="1" saveData="1">
    <webPr xl2000="1" url="http://ichart.yahoo.com/table.csv?s=^GSPC&amp;a=5&amp;b=7&amp;c=2014&amp;d=9&amp;e=5&amp;f=2014&amp;g=&amp;y=0&amp;z=^GSPC&amp;x=.csv"/>
  </connection>
  <connection id="52" name="Connection144" type="4" refreshedVersion="4" background="1" saveData="1">
    <webPr xl2000="1" url="http://ichart.yahoo.com/table.csv?s=^GSPC&amp;a=3&amp;b=20&amp;c=2013&amp;d=8&amp;e=22&amp;f=2013&amp;g=&amp;y=0&amp;z=^GSPC&amp;x=.csv"/>
  </connection>
  <connection id="53" name="Connection145" type="4" refreshedVersion="4" background="1" saveData="1">
    <webPr xl2000="1" url="http://ichart.yahoo.com/table.csv?s=^GSPC&amp;a=3&amp;b=8&amp;c=2014&amp;d=9&amp;e=5&amp;f=2014&amp;g=&amp;y=0&amp;z=^GSPC&amp;x=.csv"/>
  </connection>
  <connection id="54" name="Connection146" type="4" refreshedVersion="4" background="1" saveData="1">
    <webPr xl2000="1" url="http://ichart.yahoo.com/table.csv?s=^GSPC&amp;a=3&amp;b=8&amp;c=2014&amp;d=9&amp;e=5&amp;f=2014&amp;g=&amp;y=0&amp;z=^GSPC&amp;x=.csv"/>
  </connection>
  <connection id="55" name="Connection147" type="4" refreshedVersion="4" background="1" saveData="1">
    <webPr xl2000="1" url="http://ichart.yahoo.com/table.csv?s=^GSPC&amp;a=3&amp;b=8&amp;c=2014&amp;d=9&amp;e=5&amp;f=2014&amp;g=&amp;y=0&amp;z=^GSPC&amp;x=.csv"/>
  </connection>
  <connection id="56" name="Connection148" type="4" refreshedVersion="4" background="1" saveData="1">
    <webPr xl2000="1" url="http://ichart.yahoo.com/table.csv?s=^GSPC&amp;a=3&amp;b=8&amp;c=2014&amp;d=9&amp;e=5&amp;f=2014&amp;g=&amp;y=0&amp;z=^GSPC&amp;x=.csv"/>
  </connection>
  <connection id="57" name="Connection149" type="4" refreshedVersion="4" background="1" saveData="1">
    <webPr xl2000="1" url="http://ichart.yahoo.com/table.csv?s=^GSPC&amp;a=3&amp;b=8&amp;c=2014&amp;d=9&amp;e=5&amp;f=2014&amp;g=&amp;y=0&amp;z=^GSPC&amp;x=.csv"/>
  </connection>
  <connection id="58" name="Connection15" type="4" refreshedVersion="4" background="1" saveData="1">
    <webPr xl2000="1" url="http://ichart.yahoo.com/table.csv?s=^GSPC&amp;a=8&amp;b=3&amp;c=2014&amp;d=9&amp;e=3&amp;f=2014&amp;g=&amp;y=0&amp;z=^GSPC&amp;x=.csv"/>
  </connection>
  <connection id="59" name="Connection150" type="4" refreshedVersion="4" background="1" saveData="1">
    <webPr xl2000="1" url="http://ichart.yahoo.com/table.csv?s=^GSPC&amp;a=3&amp;b=8&amp;c=2014&amp;d=9&amp;e=5&amp;f=2014&amp;g=&amp;y=0&amp;z=^GSPC&amp;x=.csv"/>
  </connection>
  <connection id="60" name="Connection151" type="4" refreshedVersion="4" background="1" saveData="1">
    <webPr xl2000="1" url="http://ichart.yahoo.com/table.csv?s=^GSPC&amp;a=3&amp;b=8&amp;c=2014&amp;d=9&amp;e=5&amp;f=2014&amp;g=&amp;y=0&amp;z=^GSPC&amp;x=.csv"/>
  </connection>
  <connection id="61" name="Connection152" type="4" refreshedVersion="4" background="1" saveData="1">
    <webPr xl2000="1" url="http://ichart.yahoo.com/table.csv?s=^GSPC&amp;a=3&amp;b=8&amp;c=2014&amp;d=9&amp;e=5&amp;f=2014&amp;g=&amp;y=0&amp;z=^GSPC&amp;x=.csv"/>
  </connection>
  <connection id="62" name="Connection153" type="4" refreshedVersion="4" background="1" saveData="1">
    <webPr xl2000="1" url="http://ichart.yahoo.com/table.csv?s=^GSPC&amp;a=3&amp;b=8&amp;c=2014&amp;d=9&amp;e=5&amp;f=2014&amp;g=&amp;y=0&amp;z=^GSPC&amp;x=.csv"/>
  </connection>
  <connection id="63" name="Connection154" type="4" refreshedVersion="4" background="1" saveData="1">
    <webPr xl2000="1" url="http://ichart.yahoo.com/table.csv?s=^GSPC&amp;a=3&amp;b=8&amp;c=2014&amp;d=9&amp;e=5&amp;f=2014&amp;g=&amp;y=0&amp;z=^GSPC&amp;x=.csv"/>
  </connection>
  <connection id="64" name="Connection155" type="4" refreshedVersion="4" background="1" saveData="1">
    <webPr xl2000="1" url="http://ichart.yahoo.com/table.csv?s=^GSPC&amp;a=3&amp;b=8&amp;c=2014&amp;d=9&amp;e=5&amp;f=2014&amp;g=&amp;y=0&amp;z=^GSPC&amp;x=.csv"/>
  </connection>
  <connection id="65" name="Connection156" type="4" refreshedVersion="4" background="1" saveData="1">
    <webPr xl2000="1" url="http://ichart.yahoo.com/table.csv?s=^GSPC&amp;a=3&amp;b=8&amp;c=2014&amp;d=9&amp;e=5&amp;f=2014&amp;g=&amp;y=0&amp;z=^GSPC&amp;x=.csv"/>
  </connection>
  <connection id="66" name="Connection157" type="4" refreshedVersion="4" background="1" saveData="1">
    <webPr xl2000="1" url="http://ichart.yahoo.com/table.csv?s=^GSPC&amp;a=3&amp;b=20&amp;c=2013&amp;d=8&amp;e=22&amp;f=2013&amp;g=&amp;y=0&amp;z=^GSPC&amp;x=.csv"/>
  </connection>
  <connection id="67" name="Connection158" type="4" refreshedVersion="4" background="1" saveData="1">
    <webPr xl2000="1" url="http://ichart.yahoo.com/table.csv?s=^GSPC&amp;a=3&amp;b=8&amp;c=2014&amp;d=9&amp;e=5&amp;f=2014&amp;g=&amp;y=0&amp;z=^GSPC&amp;x=.csv"/>
  </connection>
  <connection id="68" name="Connection159" type="4" refreshedVersion="4" background="1" saveData="1">
    <webPr xl2000="1" url="http://ichart.yahoo.com/table.csv?s=^GSPC&amp;a=3&amp;b=8&amp;c=2014&amp;d=9&amp;e=5&amp;f=2014&amp;g=&amp;y=0&amp;z=^GSPC&amp;x=.csv"/>
  </connection>
  <connection id="69" name="Connection16" type="4" refreshedVersion="4" background="1" saveData="1">
    <webPr xl2000="1" url="http://ichart.yahoo.com/table.csv?s=^GSPC&amp;a=8&amp;b=3&amp;c=2014&amp;d=9&amp;e=3&amp;f=2014&amp;g=&amp;y=0&amp;z=^GSPC&amp;x=.csv"/>
  </connection>
  <connection id="70" name="Connection160" type="4" refreshedVersion="4" background="1" saveData="1">
    <webPr xl2000="1" url="http://ichart.yahoo.com/table.csv?s=^GSPC&amp;a=3&amp;b=8&amp;c=2014&amp;d=9&amp;e=5&amp;f=2014&amp;g=&amp;y=0&amp;z=^GSPC&amp;x=.csv"/>
  </connection>
  <connection id="71" name="Connection161" type="4" refreshedVersion="4" background="1" saveData="1">
    <webPr xl2000="1" url="http://ichart.yahoo.com/table.csv?s=^GSPC&amp;a=3&amp;b=8&amp;c=2014&amp;d=9&amp;e=5&amp;f=2014&amp;g=&amp;y=0&amp;z=^GSPC&amp;x=.csv"/>
  </connection>
  <connection id="72" name="Connection162" type="4" refreshedVersion="4" background="1" saveData="1">
    <webPr xl2000="1" url="http://ichart.yahoo.com/table.csv?s=^GSPC&amp;a=3&amp;b=8&amp;c=2014&amp;d=9&amp;e=5&amp;f=2014&amp;g=&amp;y=0&amp;z=^GSPC&amp;x=.csv"/>
  </connection>
  <connection id="73" name="Connection163" type="4" refreshedVersion="4" background="1" saveData="1">
    <webPr xl2000="1" url="http://ichart.yahoo.com/table.csv?s=^GSPC&amp;a=3&amp;b=8&amp;c=2014&amp;d=9&amp;e=5&amp;f=2014&amp;g=&amp;y=0&amp;z=^GSPC&amp;x=.csv"/>
  </connection>
  <connection id="74" name="Connection164" type="4" refreshedVersion="4" background="1" saveData="1">
    <webPr xl2000="1" url="http://ichart.yahoo.com/table.csv?s=^GSPC&amp;a=3&amp;b=8&amp;c=2014&amp;d=9&amp;e=5&amp;f=2014&amp;g=&amp;y=0&amp;z=^GSPC&amp;x=.csv"/>
  </connection>
  <connection id="75" name="Connection165" type="4" refreshedVersion="4" background="1" saveData="1">
    <webPr xl2000="1" url="http://ichart.yahoo.com/table.csv?s=^GSPC&amp;a=3&amp;b=8&amp;c=2014&amp;d=9&amp;e=5&amp;f=2014&amp;g=&amp;y=0&amp;z=^GSPC&amp;x=.csv"/>
  </connection>
  <connection id="76" name="Connection166" type="4" refreshedVersion="4" background="1" saveData="1">
    <webPr xl2000="1" url="http://ichart.yahoo.com/table.csv?s=^GSPC&amp;a=3&amp;b=8&amp;c=2014&amp;d=9&amp;e=5&amp;f=2014&amp;g=&amp;y=0&amp;z=^GSPC&amp;x=.csv"/>
  </connection>
  <connection id="77" name="Connection167" type="4" refreshedVersion="4" background="1" saveData="1">
    <webPr xl2000="1" url="http://ichart.yahoo.com/table.csv?s=^GSPC&amp;a=3&amp;b=8&amp;c=2014&amp;d=9&amp;e=5&amp;f=2014&amp;g=&amp;y=0&amp;z=^GSPC&amp;x=.csv"/>
  </connection>
  <connection id="78" name="Connection168" type="4" refreshedVersion="4" background="1" saveData="1">
    <webPr xl2000="1" url="http://ichart.yahoo.com/table.csv?s=^GSPC&amp;a=3&amp;b=8&amp;c=2014&amp;d=9&amp;e=5&amp;f=2014&amp;g=&amp;y=0&amp;z=^GSPC&amp;x=.csv"/>
  </connection>
  <connection id="79" name="Connection169" type="4" refreshedVersion="4" background="1" saveData="1">
    <webPr xl2000="1" url="http://ichart.yahoo.com/table.csv?s=^GSPC&amp;a=3&amp;b=8&amp;c=2014&amp;d=9&amp;e=5&amp;f=2014&amp;g=&amp;y=0&amp;z=^GSPC&amp;x=.csv"/>
  </connection>
  <connection id="80" name="Connection17" type="4" refreshedVersion="4" background="1" saveData="1">
    <webPr xl2000="1" url="http://ichart.yahoo.com/table.csv?s=^GSPC&amp;a=8&amp;b=3&amp;c=2014&amp;d=9&amp;e=3&amp;f=2014&amp;g=&amp;y=0&amp;z=^GSPC&amp;x=.csv"/>
  </connection>
  <connection id="81" name="Connection170" type="4" refreshedVersion="4" background="1" saveData="1">
    <webPr xl2000="1" url="http://ichart.yahoo.com/table.csv?s=^GSPC&amp;a=3&amp;b=8&amp;c=2014&amp;d=9&amp;e=5&amp;f=2014&amp;g=&amp;y=0&amp;z=^GSPC&amp;x=.csv"/>
  </connection>
  <connection id="82" name="Connection171" type="4" refreshedVersion="0" background="1">
    <webPr url="http://ichart.yahoo.com/table.csv?s=$SPX&amp;a=3&amp;b=8&amp;c=2014&amp;d=9&amp;e=5&amp;f=2014&amp;g=&amp;y=0&amp;z=$SPX&amp;x=.csv" htmlTables="1" htmlFormat="all"/>
  </connection>
  <connection id="83" name="Connection172" type="4" refreshedVersion="4" background="1" saveData="1">
    <webPr xl2000="1" url="http://ichart.yahoo.com/table.csv?s=SPX&amp;a=3&amp;b=8&amp;c=2014&amp;d=9&amp;e=5&amp;f=2014&amp;g=&amp;y=0&amp;z=SPX&amp;x=.csv"/>
  </connection>
  <connection id="84" name="Connection173" type="4" refreshedVersion="0" background="1">
    <webPr url="http://ichart.yahoo.com/table.csv?s=MACD&amp;a=3&amp;b=8&amp;c=2014&amp;d=9&amp;e=5&amp;f=2014&amp;g=&amp;y=0&amp;z=MACD&amp;x=.csv" htmlTables="1" htmlFormat="all"/>
  </connection>
  <connection id="85" name="Connection174" type="4" refreshedVersion="0" background="1">
    <webPr url="http://ichart.yahoo.com/table.csv?s=MER&amp;a=3&amp;b=8&amp;c=2014&amp;d=9&amp;e=5&amp;f=2014&amp;g=&amp;y=0&amp;z=MER&amp;x=.csv" htmlTables="1" htmlFormat="all"/>
  </connection>
  <connection id="86" name="Connection175" type="4" refreshedVersion="4" background="1" saveData="1">
    <webPr xl2000="1" url="http://ichart.yahoo.com/table.csv?s=MSFT&amp;a=3&amp;b=8&amp;c=2014&amp;d=9&amp;e=5&amp;f=2014&amp;g=&amp;y=0&amp;z=MSFT&amp;x=.csv"/>
  </connection>
  <connection id="87" name="Connection176" type="4" refreshedVersion="4" background="1" saveData="1">
    <webPr xl2000="1" url="http://ichart.yahoo.com/table.csv?s=YHOO&amp;a=3&amp;b=8&amp;c=2014&amp;d=9&amp;e=5&amp;f=2014&amp;g=&amp;y=0&amp;z=YHOO&amp;x=.csv"/>
  </connection>
  <connection id="88" name="Connection177" type="4" refreshedVersion="0" background="1">
    <webPr url="http://ichart.yahoo.com/table.csv?s=^DJI&amp;a=3&amp;b=8&amp;c=2014&amp;d=9&amp;e=5&amp;f=2014&amp;g=&amp;y=0&amp;z=^DJI&amp;x=.csv" htmlTables="1" htmlFormat="all"/>
  </connection>
  <connection id="89" name="Connection178" type="4" refreshedVersion="0" background="1">
    <webPr url="http://ichart.yahoo.com/table.csv?s=^DJI&amp;a=3&amp;b=8&amp;c=2014&amp;d=9&amp;e=5&amp;f=2014&amp;g=&amp;y=0&amp;z=^DJI&amp;x=.csv" htmlTables="1" htmlFormat="all"/>
  </connection>
  <connection id="90" name="Connection179" type="4" refreshedVersion="4" background="1" saveData="1">
    <webPr xl2000="1" url="http://ichart.yahoo.com/table.csv?s=^RUT&amp;a=3&amp;b=8&amp;c=2014&amp;d=9&amp;e=5&amp;f=2014&amp;g=&amp;y=0&amp;z=^RUT&amp;x=.csv"/>
  </connection>
  <connection id="91" name="Connection18" type="4" refreshedVersion="4" background="1" saveData="1">
    <webPr xl2000="1" url="http://ichart.yahoo.com/table.csv?s=^GSPC&amp;a=8&amp;b=3&amp;c=2014&amp;d=9&amp;e=3&amp;f=2014&amp;g=&amp;y=0&amp;z=^GSPC&amp;x=.csv"/>
  </connection>
  <connection id="92" name="Connection19" type="4" refreshedVersion="4" background="1" saveData="1">
    <webPr xl2000="1" url="http://ichart.yahoo.com/table.csv?s=^GSPC&amp;a=8&amp;b=3&amp;c=2014&amp;d=9&amp;e=3&amp;f=2014&amp;g=&amp;y=0&amp;z=^GSPC&amp;x=.csv"/>
  </connection>
  <connection id="93" name="Connection2" type="4" refreshedVersion="4" background="1" saveData="1">
    <webPr xl2000="1" url="http://ichart.yahoo.com/table.csv?s=^GSPC&amp;a=8&amp;b=3&amp;c=2014&amp;d=9&amp;e=3&amp;f=2014&amp;g=&amp;y=0&amp;z=^GSPC&amp;x=.csv"/>
  </connection>
  <connection id="94" name="Connection20" type="4" refreshedVersion="4" background="1" saveData="1">
    <webPr xl2000="1" url="http://ichart.yahoo.com/table.csv?s=^GSPC&amp;a=8&amp;b=3&amp;c=2014&amp;d=9&amp;e=3&amp;f=2014&amp;g=&amp;y=0&amp;z=^GSPC&amp;x=.csv"/>
  </connection>
  <connection id="95" name="Connection21" type="4" refreshedVersion="4" background="1" saveData="1">
    <webPr xl2000="1" url="http://ichart.yahoo.com/table.csv?s=^GSPC&amp;a=8&amp;b=3&amp;c=2014&amp;d=9&amp;e=3&amp;f=2014&amp;g=&amp;y=0&amp;z=^GSPC&amp;x=.csv"/>
  </connection>
  <connection id="96" name="Connection22" type="4" refreshedVersion="4" background="1" saveData="1">
    <webPr xl2000="1" url="http://ichart.yahoo.com/table.csv?s=^GSPC&amp;a=8&amp;b=3&amp;c=2014&amp;d=9&amp;e=3&amp;f=2014&amp;g=&amp;y=0&amp;z=^GSPC&amp;x=.csv"/>
  </connection>
  <connection id="97" name="Connection23" type="4" refreshedVersion="4" background="1" saveData="1">
    <webPr xl2000="1" url="http://ichart.yahoo.com/table.csv?s=^GSPC&amp;a=8&amp;b=3&amp;c=2014&amp;d=9&amp;e=3&amp;f=2014&amp;g=&amp;y=0&amp;z=^GSPC&amp;x=.csv"/>
  </connection>
  <connection id="98" name="Connection24" type="4" refreshedVersion="4" background="1" saveData="1">
    <webPr xl2000="1" url="http://ichart.yahoo.com/table.csv?s=^GSPC&amp;a=8&amp;b=3&amp;c=2014&amp;d=9&amp;e=3&amp;f=2014&amp;g=&amp;y=0&amp;z=^GSPC&amp;x=.csv"/>
  </connection>
  <connection id="99" name="Connection25" type="4" refreshedVersion="4" background="1" saveData="1">
    <webPr xl2000="1" url="http://ichart.yahoo.com/table.csv?s=^GSPC&amp;a=8&amp;b=3&amp;c=2014&amp;d=9&amp;e=3&amp;f=2014&amp;g=&amp;y=0&amp;z=^GSPC&amp;x=.csv"/>
  </connection>
  <connection id="100" name="Connection26" type="4" refreshedVersion="4" background="1" saveData="1">
    <webPr xl2000="1" url="http://ichart.yahoo.com/table.csv?s=^GSPC&amp;a=8&amp;b=3&amp;c=2014&amp;d=9&amp;e=3&amp;f=2014&amp;g=&amp;y=0&amp;z=^GSPC&amp;x=.csv"/>
  </connection>
  <connection id="101" name="Connection27" type="4" refreshedVersion="4" background="1" saveData="1">
    <webPr xl2000="1" url="http://ichart.yahoo.com/table.csv?s=^GSPC&amp;a=8&amp;b=3&amp;c=2014&amp;d=9&amp;e=3&amp;f=2014&amp;g=&amp;y=0&amp;z=^GSPC&amp;x=.csv"/>
  </connection>
  <connection id="102" name="Connection28" type="4" refreshedVersion="4" background="1" saveData="1">
    <webPr xl2000="1" url="http://ichart.yahoo.com/table.csv?s=^GSPC&amp;a=8&amp;b=3&amp;c=2014&amp;d=9&amp;e=3&amp;f=2014&amp;g=&amp;y=0&amp;z=^GSPC&amp;x=.csv"/>
  </connection>
  <connection id="103" name="Connection29" type="4" refreshedVersion="4" background="1" saveData="1">
    <webPr xl2000="1" url="http://ichart.yahoo.com/table.csv?s=^GSPC&amp;a=8&amp;b=3&amp;c=2014&amp;d=9&amp;e=3&amp;f=2014&amp;g=&amp;y=0&amp;z=^GSPC&amp;x=.csv"/>
  </connection>
  <connection id="104" name="Connection3" type="4" refreshedVersion="4" background="1" saveData="1">
    <webPr xl2000="1" url="http://ichart.yahoo.com/table.csv?s=^GSPC&amp;a=8&amp;b=3&amp;c=2014&amp;d=9&amp;e=3&amp;f=2014&amp;g=&amp;y=0&amp;z=^GSPC&amp;x=.csv"/>
  </connection>
  <connection id="105" name="Connection30" type="4" refreshedVersion="4" background="1" saveData="1">
    <webPr xl2000="1" url="http://ichart.yahoo.com/table.csv?s=^GSPC&amp;a=8&amp;b=3&amp;c=2014&amp;d=9&amp;e=3&amp;f=2014&amp;g=&amp;y=0&amp;z=^GSPC&amp;x=.csv"/>
  </connection>
  <connection id="106" name="Connection31" type="4" refreshedVersion="4" background="1" saveData="1">
    <webPr xl2000="1" url="http://ichart.yahoo.com/table.csv?s=^GSPC&amp;a=8&amp;b=3&amp;c=2014&amp;d=9&amp;e=3&amp;f=2014&amp;g=&amp;y=0&amp;z=^GSPC&amp;x=.csv"/>
  </connection>
  <connection id="107" name="Connection32" type="4" refreshedVersion="4" background="1" saveData="1">
    <webPr xl2000="1" url="http://ichart.yahoo.com/table.csv?s=^GSPC&amp;a=8&amp;b=3&amp;c=2014&amp;d=9&amp;e=3&amp;f=2014&amp;g=&amp;y=0&amp;z=^GSPC&amp;x=.csv"/>
  </connection>
  <connection id="108" name="Connection33" type="4" refreshedVersion="4" background="1" saveData="1">
    <webPr xl2000="1" url="http://ichart.yahoo.com/table.csv?s=^GSPC&amp;a=8&amp;b=3&amp;c=2014&amp;d=9&amp;e=3&amp;f=2014&amp;g=&amp;y=0&amp;z=^GSPC&amp;x=.csv"/>
  </connection>
  <connection id="109" name="Connection34" type="4" refreshedVersion="4" background="1" saveData="1">
    <webPr xl2000="1" url="http://ichart.yahoo.com/table.csv?s=^GSPC&amp;a=8&amp;b=3&amp;c=2014&amp;d=9&amp;e=3&amp;f=2014&amp;g=&amp;y=0&amp;z=^GSPC&amp;x=.csv"/>
  </connection>
  <connection id="110" name="Connection35" type="4" refreshedVersion="4" background="1" saveData="1">
    <webPr xl2000="1" url="http://ichart.yahoo.com/table.csv?s=^GSPC&amp;a=8&amp;b=3&amp;c=2014&amp;d=9&amp;e=3&amp;f=2014&amp;g=&amp;y=0&amp;z=^GSPC&amp;x=.csv"/>
  </connection>
  <connection id="111" name="Connection36" type="4" refreshedVersion="4" background="1" saveData="1">
    <webPr xl2000="1" url="http://ichart.yahoo.com/table.csv?s=^GSPC&amp;a=8&amp;b=3&amp;c=2014&amp;d=9&amp;e=3&amp;f=2014&amp;g=&amp;y=0&amp;z=^GSPC&amp;x=.csv"/>
  </connection>
  <connection id="112" name="Connection37" type="4" refreshedVersion="4" background="1" saveData="1">
    <webPr xl2000="1" url="http://ichart.yahoo.com/table.csv?s=^GSPC&amp;a=8&amp;b=3&amp;c=2014&amp;d=9&amp;e=3&amp;f=2014&amp;g=&amp;y=0&amp;z=^GSPC&amp;x=.csv"/>
  </connection>
  <connection id="113" name="Connection38" type="4" refreshedVersion="4" background="1" saveData="1">
    <webPr xl2000="1" url="http://ichart.yahoo.com/table.csv?s=^GSPC&amp;a=8&amp;b=3&amp;c=2014&amp;d=9&amp;e=3&amp;f=2014&amp;g=&amp;y=0&amp;z=^GSPC&amp;x=.csv"/>
  </connection>
  <connection id="114" name="Connection39" type="4" refreshedVersion="4" background="1" saveData="1">
    <webPr xl2000="1" url="http://ichart.yahoo.com/table.csv?s=^GSPC&amp;a=8&amp;b=3&amp;c=2014&amp;d=9&amp;e=3&amp;f=2014&amp;g=&amp;y=0&amp;z=^GSPC&amp;x=.csv"/>
  </connection>
  <connection id="115" name="Connection4" type="4" refreshedVersion="4" background="1" saveData="1">
    <webPr xl2000="1" url="http://ichart.yahoo.com/table.csv?s=^GSPC&amp;a=8&amp;b=3&amp;c=2014&amp;d=9&amp;e=3&amp;f=2014&amp;g=&amp;y=0&amp;z=^GSPC&amp;x=.csv"/>
  </connection>
  <connection id="116" name="Connection40" type="4" refreshedVersion="4" background="1" saveData="1">
    <webPr xl2000="1" url="http://ichart.yahoo.com/table.csv?s=^GSPC&amp;a=8&amp;b=3&amp;c=2014&amp;d=9&amp;e=3&amp;f=2014&amp;g=&amp;y=0&amp;z=^GSPC&amp;x=.csv"/>
  </connection>
  <connection id="117" name="Connection41" type="4" refreshedVersion="4" background="1" saveData="1">
    <webPr xl2000="1" url="http://ichart.yahoo.com/table.csv?s=^GSPC&amp;a=3&amp;b=20&amp;c=2013&amp;d=8&amp;e=22&amp;f=2013&amp;g=&amp;y=0&amp;z=^GSPC&amp;x=.csv"/>
  </connection>
  <connection id="118" name="Connection42" type="4" refreshedVersion="4" background="1" saveData="1">
    <webPr xl2000="1" url="http://ichart.yahoo.com/table.csv?s=^GSPC&amp;a=8&amp;b=3&amp;c=2014&amp;d=9&amp;e=3&amp;f=2014&amp;g=&amp;y=0&amp;z=^GSPC&amp;x=.csv"/>
  </connection>
  <connection id="119" name="Connection43" type="4" refreshedVersion="4" background="1" saveData="1">
    <webPr xl2000="1" url="http://ichart.yahoo.com/table.csv?s=^GSPC&amp;a=8&amp;b=3&amp;c=2014&amp;d=9&amp;e=3&amp;f=2014&amp;g=&amp;y=0&amp;z=^GSPC&amp;x=.csv"/>
  </connection>
  <connection id="120" name="Connection44" type="4" refreshedVersion="4" background="1" saveData="1">
    <webPr xl2000="1" url="http://ichart.yahoo.com/table.csv?s=^GSPC&amp;a=8&amp;b=4&amp;c=2014&amp;d=9&amp;e=4&amp;f=2014&amp;g=&amp;y=0&amp;z=^GSPC&amp;x=.csv"/>
  </connection>
  <connection id="121" name="Connection45" type="4" refreshedVersion="4" background="1" saveData="1">
    <webPr xl2000="1" url="http://ichart.yahoo.com/table.csv?s=^GSPC&amp;a=8&amp;b=4&amp;c=2014&amp;d=9&amp;e=4&amp;f=2014&amp;g=&amp;y=0&amp;z=^GSPC&amp;x=.csv"/>
  </connection>
  <connection id="122" name="Connection46" type="4" refreshedVersion="4" background="1" saveData="1">
    <webPr xl2000="1" url="http://ichart.yahoo.com/table.csv?s=^GSPC&amp;a=8&amp;b=4&amp;c=2014&amp;d=9&amp;e=4&amp;f=2014&amp;g=&amp;y=0&amp;z=^GSPC&amp;x=.csv"/>
  </connection>
  <connection id="123" name="Connection47" type="4" refreshedVersion="4" background="1" saveData="1">
    <webPr xl2000="1" url="http://ichart.yahoo.com/table.csv?s=^GSPC&amp;a=8&amp;b=4&amp;c=2014&amp;d=9&amp;e=4&amp;f=2014&amp;g=&amp;y=0&amp;z=^GSPC&amp;x=.csv"/>
  </connection>
  <connection id="124" name="Connection48" type="4" refreshedVersion="4" background="1" saveData="1">
    <webPr xl2000="1" url="http://ichart.yahoo.com/table.csv?s=^GSPC&amp;a=8&amp;b=4&amp;c=2014&amp;d=9&amp;e=4&amp;f=2014&amp;g=&amp;y=0&amp;z=^GSPC&amp;x=.csv"/>
  </connection>
  <connection id="125" name="Connection49" type="4" refreshedVersion="4" background="1" saveData="1">
    <webPr xl2000="1" url="http://ichart.yahoo.com/table.csv?s=^GSPC&amp;a=8&amp;b=4&amp;c=2014&amp;d=9&amp;e=4&amp;f=2014&amp;g=&amp;y=0&amp;z=^GSPC&amp;x=.csv"/>
  </connection>
  <connection id="126" name="Connection5" type="4" refreshedVersion="4" background="1" saveData="1">
    <webPr xl2000="1" url="http://ichart.yahoo.com/table.csv?s=^GSPC&amp;a=8&amp;b=3&amp;c=2014&amp;d=9&amp;e=3&amp;f=2014&amp;g=&amp;y=0&amp;z=^GSPC&amp;x=.csv"/>
  </connection>
  <connection id="127" name="Connection50" type="4" refreshedVersion="4" background="1" saveData="1">
    <webPr xl2000="1" url="http://ichart.yahoo.com/table.csv?s=^GSPC&amp;a=8&amp;b=4&amp;c=2014&amp;d=9&amp;e=4&amp;f=2014&amp;g=&amp;y=0&amp;z=^GSPC&amp;x=.csv"/>
  </connection>
  <connection id="128" name="Connection51" type="4" refreshedVersion="4" background="1" saveData="1">
    <webPr xl2000="1" url="http://ichart.yahoo.com/table.csv?s=^GSPC&amp;a=8&amp;b=4&amp;c=2014&amp;d=9&amp;e=4&amp;f=2014&amp;g=&amp;y=0&amp;z=^GSPC&amp;x=.csv"/>
  </connection>
  <connection id="129" name="Connection52" type="4" refreshedVersion="4" background="1" saveData="1">
    <webPr xl2000="1" url="http://ichart.yahoo.com/table.csv?s=^GSPC&amp;a=8&amp;b=4&amp;c=2014&amp;d=9&amp;e=4&amp;f=2014&amp;g=&amp;y=0&amp;z=^GSPC&amp;x=.csv"/>
  </connection>
  <connection id="130" name="Connection53" type="4" refreshedVersion="4" background="1" saveData="1">
    <webPr xl2000="1" url="http://ichart.yahoo.com/table.csv?s=^GSPC&amp;a=8&amp;b=4&amp;c=2014&amp;d=9&amp;e=4&amp;f=2014&amp;g=&amp;y=0&amp;z=^GSPC&amp;x=.csv"/>
  </connection>
  <connection id="131" name="Connection54" type="4" refreshedVersion="4" background="1" saveData="1">
    <webPr xl2000="1" url="http://ichart.yahoo.com/table.csv?s=^GSPC&amp;a=8&amp;b=4&amp;c=2014&amp;d=9&amp;e=4&amp;f=2014&amp;g=&amp;y=0&amp;z=^GSPC&amp;x=.csv"/>
  </connection>
  <connection id="132" name="Connection55" type="4" refreshedVersion="4" background="1" saveData="1">
    <webPr xl2000="1" url="http://ichart.yahoo.com/table.csv?s=^GSPC&amp;a=8&amp;b=4&amp;c=2014&amp;d=9&amp;e=4&amp;f=2014&amp;g=&amp;y=0&amp;z=^GSPC&amp;x=.csv"/>
  </connection>
  <connection id="133" name="Connection56" type="4" refreshedVersion="4" background="1" saveData="1">
    <webPr xl2000="1" url="http://ichart.yahoo.com/table.csv?s=^GSPC&amp;a=8&amp;b=4&amp;c=2014&amp;d=9&amp;e=4&amp;f=2014&amp;g=&amp;y=0&amp;z=^GSPC&amp;x=.csv"/>
  </connection>
  <connection id="134" name="Connection57" type="4" refreshedVersion="4" background="1" saveData="1">
    <webPr xl2000="1" url="http://ichart.yahoo.com/table.csv?s=^GSPC&amp;a=7&amp;b=5&amp;c=2014&amp;d=9&amp;e=4&amp;f=2014&amp;g=&amp;y=0&amp;z=^GSPC&amp;x=.csv"/>
  </connection>
  <connection id="135" name="Connection58" type="4" refreshedVersion="4" background="1" saveData="1">
    <webPr xl2000="1" url="http://ichart.yahoo.com/table.csv?s=^GSPC&amp;a=7&amp;b=5&amp;c=2014&amp;d=9&amp;e=4&amp;f=2014&amp;g=&amp;y=0&amp;z=^GSPC&amp;x=.csv"/>
  </connection>
  <connection id="136" name="Connection59" type="4" refreshedVersion="4" background="1" saveData="1">
    <webPr xl2000="1" url="http://ichart.yahoo.com/table.csv?s=^GSPC&amp;a=7&amp;b=5&amp;c=2014&amp;d=9&amp;e=4&amp;f=2014&amp;g=&amp;y=0&amp;z=^GSPC&amp;x=.csv"/>
  </connection>
  <connection id="137" name="Connection6" type="4" refreshedVersion="4" background="1" saveData="1">
    <webPr xl2000="1" url="http://ichart.yahoo.com/table.csv?s=^GSPC&amp;a=8&amp;b=3&amp;c=2014&amp;d=9&amp;e=3&amp;f=2014&amp;g=&amp;y=0&amp;z=^GSPC&amp;x=.csv"/>
  </connection>
  <connection id="138" name="Connection60" type="4" refreshedVersion="4" background="1" saveData="1">
    <webPr xl2000="1" url="http://ichart.yahoo.com/table.csv?s=^GSPC&amp;a=7&amp;b=5&amp;c=2014&amp;d=9&amp;e=4&amp;f=2014&amp;g=&amp;y=0&amp;z=^GSPC&amp;x=.csv"/>
  </connection>
  <connection id="139" name="Connection61" type="4" refreshedVersion="4" background="1" saveData="1">
    <webPr xl2000="1" url="http://ichart.yahoo.com/table.csv?s=^GSPC&amp;a=7&amp;b=5&amp;c=2014&amp;d=9&amp;e=4&amp;f=2014&amp;g=&amp;y=0&amp;z=^GSPC&amp;x=.csv"/>
  </connection>
  <connection id="140" name="Connection62" type="4" refreshedVersion="4" background="1" saveData="1">
    <webPr xl2000="1" url="http://ichart.yahoo.com/table.csv?s=^GSPC&amp;a=8&amp;b=4&amp;c=2014&amp;d=9&amp;e=4&amp;f=2014&amp;g=&amp;y=0&amp;z=^GSPC&amp;x=.csv"/>
  </connection>
  <connection id="141" name="Connection63" type="4" refreshedVersion="4" background="1" saveData="1">
    <webPr xl2000="1" url="http://ichart.yahoo.com/table.csv?s=^GSPC&amp;a=8&amp;b=4&amp;c=2014&amp;d=9&amp;e=4&amp;f=2014&amp;g=&amp;y=0&amp;z=^GSPC&amp;x=.csv"/>
  </connection>
  <connection id="142" name="Connection64" type="4" refreshedVersion="4" background="1" saveData="1">
    <webPr xl2000="1" url="http://ichart.yahoo.com/table.csv?s=^GSPC&amp;a=8&amp;b=4&amp;c=2014&amp;d=9&amp;e=4&amp;f=2014&amp;g=&amp;y=0&amp;z=^GSPC&amp;x=.csv"/>
  </connection>
  <connection id="143" name="Connection65" type="4" refreshedVersion="4" background="1" saveData="1">
    <webPr xl2000="1" url="http://ichart.yahoo.com/table.csv?s=^GSPC&amp;a=8&amp;b=4&amp;c=2014&amp;d=9&amp;e=4&amp;f=2014&amp;g=&amp;y=0&amp;z=^GSPC&amp;x=.csv"/>
  </connection>
  <connection id="144" name="Connection66" type="4" refreshedVersion="4" background="1" saveData="1">
    <webPr xl2000="1" url="http://ichart.yahoo.com/table.csv?s=^GSPC&amp;a=8&amp;b=4&amp;c=2014&amp;d=9&amp;e=4&amp;f=2014&amp;g=&amp;y=0&amp;z=^GSPC&amp;x=.csv"/>
  </connection>
  <connection id="145" name="Connection67" type="4" refreshedVersion="4" background="1" saveData="1">
    <webPr xl2000="1" url="http://ichart.yahoo.com/table.csv?s=^GSPC&amp;a=8&amp;b=4&amp;c=2014&amp;d=9&amp;e=4&amp;f=2014&amp;g=&amp;y=0&amp;z=^GSPC&amp;x=.csv"/>
  </connection>
  <connection id="146" name="Connection68" type="4" refreshedVersion="4" background="1" saveData="1">
    <webPr xl2000="1" url="http://ichart.yahoo.com/table.csv?s=^GSPC&amp;a=8&amp;b=4&amp;c=2014&amp;d=9&amp;e=4&amp;f=2014&amp;g=&amp;y=0&amp;z=^GSPC&amp;x=.csv"/>
  </connection>
  <connection id="147" name="Connection69" type="4" refreshedVersion="4" background="1" saveData="1">
    <webPr xl2000="1" url="http://ichart.yahoo.com/table.csv?s=^GSPC&amp;a=8&amp;b=4&amp;c=2014&amp;d=9&amp;e=4&amp;f=2014&amp;g=&amp;y=0&amp;z=^GSPC&amp;x=.csv"/>
  </connection>
  <connection id="148" name="Connection7" type="4" refreshedVersion="4" background="1" saveData="1">
    <webPr xl2000="1" url="http://ichart.yahoo.com/table.csv?s=^GSPC&amp;a=8&amp;b=3&amp;c=2014&amp;d=9&amp;e=3&amp;f=2014&amp;g=&amp;y=0&amp;z=^GSPC&amp;x=.csv"/>
  </connection>
  <connection id="149" name="Connection70" type="4" refreshedVersion="4" background="1" saveData="1">
    <webPr xl2000="1" url="http://ichart.yahoo.com/table.csv?s=^GSPC&amp;a=8&amp;b=4&amp;c=2014&amp;d=9&amp;e=4&amp;f=2014&amp;g=&amp;y=0&amp;z=^GSPC&amp;x=.csv"/>
  </connection>
  <connection id="150" name="Connection71" type="4" refreshedVersion="4" background="1" saveData="1">
    <webPr xl2000="1" url="http://ichart.yahoo.com/table.csv?s=^GSPC&amp;a=8&amp;b=4&amp;c=2014&amp;d=9&amp;e=4&amp;f=2014&amp;g=&amp;y=0&amp;z=^GSPC&amp;x=.csv"/>
  </connection>
  <connection id="151" name="Connection72" type="4" refreshedVersion="4" background="1" saveData="1">
    <webPr xl2000="1" url="http://ichart.yahoo.com/table.csv?s=^GSPC&amp;a=8&amp;b=4&amp;c=2014&amp;d=9&amp;e=4&amp;f=2014&amp;g=&amp;y=0&amp;z=^GSPC&amp;x=.csv"/>
  </connection>
  <connection id="152" name="Connection73" type="4" refreshedVersion="4" background="1" saveData="1">
    <webPr xl2000="1" url="http://ichart.yahoo.com/table.csv?s=^GSPC&amp;a=8&amp;b=5&amp;c=2014&amp;d=9&amp;e=5&amp;f=2014&amp;g=&amp;y=0&amp;z=^GSPC&amp;x=.csv"/>
  </connection>
  <connection id="153" name="Connection74" type="4" refreshedVersion="4" background="1" saveData="1">
    <webPr xl2000="1" url="http://ichart.yahoo.com/table.csv?s=^GSPC&amp;a=8&amp;b=5&amp;c=2014&amp;d=9&amp;e=5&amp;f=2014&amp;g=&amp;y=0&amp;z=^GSPC&amp;x=.csv"/>
  </connection>
  <connection id="154" name="Connection75" type="4" refreshedVersion="4" background="1" saveData="1">
    <webPr xl2000="1" url="http://ichart.yahoo.com/table.csv?s=^GSPC&amp;a=8&amp;b=5&amp;c=2014&amp;d=9&amp;e=5&amp;f=2014&amp;g=&amp;y=0&amp;z=^GSPC&amp;x=.csv"/>
  </connection>
  <connection id="155" name="Connection76" type="4" refreshedVersion="4" background="1" saveData="1">
    <webPr xl2000="1" url="http://ichart.yahoo.com/table.csv?s=^GSPC&amp;a=8&amp;b=5&amp;c=2014&amp;d=9&amp;e=5&amp;f=2014&amp;g=&amp;y=0&amp;z=^GSPC&amp;x=.csv"/>
  </connection>
  <connection id="156" name="Connection77" type="4" refreshedVersion="4" background="1" saveData="1">
    <webPr xl2000="1" url="http://ichart.yahoo.com/table.csv?s=^GSPC&amp;a=8&amp;b=5&amp;c=2014&amp;d=9&amp;e=5&amp;f=2014&amp;g=&amp;y=0&amp;z=^GSPC&amp;x=.csv"/>
  </connection>
  <connection id="157" name="Connection78" type="4" refreshedVersion="4" background="1" saveData="1">
    <webPr xl2000="1" url="http://ichart.yahoo.com/table.csv?s=^GSPC&amp;a=8&amp;b=5&amp;c=2014&amp;d=9&amp;e=5&amp;f=2014&amp;g=&amp;y=0&amp;z=^GSPC&amp;x=.csv"/>
  </connection>
  <connection id="158" name="Connection79" type="4" refreshedVersion="4" background="1" saveData="1">
    <webPr xl2000="1" url="http://ichart.yahoo.com/table.csv?s=^GSPC&amp;a=8&amp;b=5&amp;c=2014&amp;d=9&amp;e=5&amp;f=2014&amp;g=&amp;y=0&amp;z=^GSPC&amp;x=.csv"/>
  </connection>
  <connection id="159" name="Connection8" type="4" refreshedVersion="4" background="1" saveData="1">
    <webPr xl2000="1" url="http://ichart.yahoo.com/table.csv?s=^GSPC&amp;a=8&amp;b=3&amp;c=2014&amp;d=9&amp;e=3&amp;f=2014&amp;g=&amp;y=0&amp;z=^GSPC&amp;x=.csv"/>
  </connection>
  <connection id="160" name="Connection80" type="4" refreshedVersion="4" background="1" saveData="1">
    <webPr xl2000="1" url="http://ichart.yahoo.com/table.csv?s=^GSPC&amp;a=8&amp;b=5&amp;c=2014&amp;d=9&amp;e=5&amp;f=2014&amp;g=&amp;y=0&amp;z=^GSPC&amp;x=.csv"/>
  </connection>
  <connection id="161" name="Connection81" type="4" refreshedVersion="4" background="1" saveData="1">
    <webPr xl2000="1" url="http://ichart.yahoo.com/table.csv?s=^GSPC&amp;a=8&amp;b=5&amp;c=2014&amp;d=9&amp;e=5&amp;f=2014&amp;g=&amp;y=0&amp;z=^GSPC&amp;x=.csv"/>
  </connection>
  <connection id="162" name="Connection82" type="4" refreshedVersion="4" background="1" saveData="1">
    <webPr xl2000="1" url="http://ichart.yahoo.com/table.csv?s=^GSPC&amp;a=8&amp;b=5&amp;c=2014&amp;d=9&amp;e=5&amp;f=2014&amp;g=&amp;y=0&amp;z=^GSPC&amp;x=.csv"/>
  </connection>
  <connection id="163" name="Connection83" type="4" refreshedVersion="4" background="1" saveData="1">
    <webPr xl2000="1" url="http://ichart.yahoo.com/table.csv?s=^GSPC&amp;a=8&amp;b=5&amp;c=2014&amp;d=9&amp;e=5&amp;f=2014&amp;g=&amp;y=0&amp;z=^GSPC&amp;x=.csv"/>
  </connection>
  <connection id="164" name="Connection84" type="4" refreshedVersion="4" background="1" saveData="1">
    <webPr xl2000="1" url="http://ichart.yahoo.com/table.csv?s=^GSPC&amp;a=8&amp;b=5&amp;c=2014&amp;d=9&amp;e=5&amp;f=2014&amp;g=&amp;y=0&amp;z=^GSPC&amp;x=.csv"/>
  </connection>
  <connection id="165" name="Connection85" type="4" refreshedVersion="4" background="1" saveData="1">
    <webPr xl2000="1" url="http://ichart.yahoo.com/table.csv?s=^GSPC&amp;a=8&amp;b=5&amp;c=2014&amp;d=9&amp;e=5&amp;f=2014&amp;g=&amp;y=0&amp;z=^GSPC&amp;x=.csv"/>
  </connection>
  <connection id="166" name="Connection86" type="4" refreshedVersion="4" background="1" saveData="1">
    <webPr xl2000="1" url="http://ichart.yahoo.com/table.csv?s=^GSPC&amp;a=8&amp;b=5&amp;c=2014&amp;d=9&amp;e=5&amp;f=2014&amp;g=&amp;y=0&amp;z=^GSPC&amp;x=.csv"/>
  </connection>
  <connection id="167" name="Connection87" type="4" refreshedVersion="4" background="1" saveData="1">
    <webPr xl2000="1" url="http://ichart.yahoo.com/table.csv?s=^GSPC&amp;a=8&amp;b=5&amp;c=2014&amp;d=9&amp;e=5&amp;f=2014&amp;g=&amp;y=0&amp;z=^GSPC&amp;x=.csv"/>
  </connection>
  <connection id="168" name="Connection88" type="4" refreshedVersion="4" background="1" saveData="1">
    <webPr xl2000="1" url="http://ichart.yahoo.com/table.csv?s=^GSPC&amp;a=8&amp;b=5&amp;c=2014&amp;d=9&amp;e=5&amp;f=2014&amp;g=&amp;y=0&amp;z=^GSPC&amp;x=.csv"/>
  </connection>
  <connection id="169" name="Connection89" type="4" refreshedVersion="4" background="1" saveData="1">
    <webPr xl2000="1" url="http://ichart.yahoo.com/table.csv?s=^GSPC&amp;a=8&amp;b=5&amp;c=2014&amp;d=9&amp;e=5&amp;f=2014&amp;g=&amp;y=0&amp;z=^GSPC&amp;x=.csv"/>
  </connection>
  <connection id="170" name="Connection9" type="4" refreshedVersion="4" background="1" saveData="1">
    <webPr xl2000="1" url="http://ichart.yahoo.com/table.csv?s=^GSPC&amp;a=8&amp;b=3&amp;c=2014&amp;d=9&amp;e=3&amp;f=2014&amp;g=&amp;y=0&amp;z=^GSPC&amp;x=.csv"/>
  </connection>
  <connection id="171" name="Connection90" type="4" refreshedVersion="4" background="1" saveData="1">
    <webPr xl2000="1" url="http://ichart.yahoo.com/table.csv?s=^GSPC&amp;a=8&amp;b=5&amp;c=2014&amp;d=9&amp;e=5&amp;f=2014&amp;g=&amp;y=0&amp;z=^GSPC&amp;x=.csv"/>
  </connection>
  <connection id="172" name="Connection91" type="4" refreshedVersion="4" background="1" saveData="1">
    <webPr xl2000="1" url="http://ichart.yahoo.com/table.csv?s=^GSPC&amp;a=8&amp;b=5&amp;c=2014&amp;d=9&amp;e=5&amp;f=2014&amp;g=&amp;y=0&amp;z=^GSPC&amp;x=.csv"/>
  </connection>
  <connection id="173" name="Connection92" type="4" refreshedVersion="4" background="1" saveData="1">
    <webPr xl2000="1" url="http://ichart.yahoo.com/table.csv?s=^GSPC&amp;a=8&amp;b=5&amp;c=2014&amp;d=9&amp;e=5&amp;f=2014&amp;g=&amp;y=0&amp;z=^GSPC&amp;x=.csv"/>
  </connection>
  <connection id="174" name="Connection93" type="4" refreshedVersion="4" background="1" saveData="1">
    <webPr xl2000="1" url="http://ichart.yahoo.com/table.csv?s=^GSPC&amp;a=8&amp;b=5&amp;c=2014&amp;d=9&amp;e=5&amp;f=2014&amp;g=&amp;y=0&amp;z=^GSPC&amp;x=.csv"/>
  </connection>
  <connection id="175" name="Connection94" type="4" refreshedVersion="4" background="1" saveData="1">
    <webPr xl2000="1" url="http://ichart.yahoo.com/table.csv?s=^GSPC&amp;a=8&amp;b=5&amp;c=2014&amp;d=9&amp;e=5&amp;f=2014&amp;g=&amp;y=0&amp;z=^GSPC&amp;x=.csv"/>
  </connection>
  <connection id="176" name="Connection95" type="4" refreshedVersion="4" background="1" saveData="1">
    <webPr xl2000="1" url="http://ichart.yahoo.com/table.csv?s=^GSPC&amp;a=8&amp;b=5&amp;c=2014&amp;d=9&amp;e=5&amp;f=2014&amp;g=&amp;y=0&amp;z=^GSPC&amp;x=.csv"/>
  </connection>
  <connection id="177" name="Connection96" type="4" refreshedVersion="4" background="1" saveData="1">
    <webPr xl2000="1" url="http://ichart.yahoo.com/table.csv?s=^GSPC&amp;a=8&amp;b=5&amp;c=2014&amp;d=9&amp;e=5&amp;f=2014&amp;g=&amp;y=0&amp;z=^GSPC&amp;x=.csv"/>
  </connection>
  <connection id="178" name="Connection97" type="4" refreshedVersion="4" background="1" saveData="1">
    <webPr xl2000="1" url="http://ichart.yahoo.com/table.csv?s=^GSPC&amp;a=8&amp;b=5&amp;c=2014&amp;d=9&amp;e=5&amp;f=2014&amp;g=&amp;y=0&amp;z=^GSPC&amp;x=.csv"/>
  </connection>
  <connection id="179" name="Connection98" type="4" refreshedVersion="4" background="1" saveData="1">
    <webPr xl2000="1" url="http://ichart.yahoo.com/table.csv?s=^GSPC&amp;a=8&amp;b=5&amp;c=2014&amp;d=9&amp;e=5&amp;f=2014&amp;g=&amp;y=0&amp;z=^GSPC&amp;x=.csv"/>
  </connection>
  <connection id="180" name="Connection99" type="4" refreshedVersion="4" background="1" saveData="1">
    <webPr xl2000="1" url="http://ichart.yahoo.com/table.csv?s=^GSPC&amp;a=8&amp;b=5&amp;c=2014&amp;d=9&amp;e=5&amp;f=2014&amp;g=&amp;y=0&amp;z=^GSPC&amp;x=.csv"/>
  </connection>
</connections>
</file>

<file path=xl/sharedStrings.xml><?xml version="1.0" encoding="utf-8"?>
<sst xmlns="http://schemas.openxmlformats.org/spreadsheetml/2006/main" count="32" uniqueCount="31">
  <si>
    <t>Parameters for Yahoo Web Service</t>
  </si>
  <si>
    <t>Stock Symbol</t>
  </si>
  <si>
    <t>From Date</t>
  </si>
  <si>
    <t>To Date</t>
  </si>
  <si>
    <t xml:space="preserve"> </t>
  </si>
  <si>
    <t>Date</t>
  </si>
  <si>
    <t>Open</t>
  </si>
  <si>
    <t>High</t>
  </si>
  <si>
    <t>Low</t>
  </si>
  <si>
    <t>Close</t>
  </si>
  <si>
    <t>Volume</t>
  </si>
  <si>
    <t>Adj Close</t>
  </si>
  <si>
    <t>Highest High</t>
  </si>
  <si>
    <t>Lowest Low</t>
  </si>
  <si>
    <t>Full Stoch 3sma</t>
  </si>
  <si>
    <t>Slow Stoch(3days) %D</t>
  </si>
  <si>
    <t>Fast Stoch(14days) %K</t>
  </si>
  <si>
    <t>http://investmenttoolkit.wordpress.com</t>
  </si>
  <si>
    <t>This excel VBA import historical stock prices for a given symbol from Yahoo Web Service and</t>
  </si>
  <si>
    <t>Donations to cover hosting costs are always welcome. Usage of this service is entirely at your own risk.</t>
  </si>
  <si>
    <t>plots Stochastic Oscillator</t>
  </si>
  <si>
    <t>Disclaimer: The spreadsheet is free for personal and non-profit use. If you use it, consider leaving a comment at my blog post or share my blog in Twitter or Facebook.</t>
  </si>
  <si>
    <t>YHOO</t>
  </si>
  <si>
    <t>Williams %R Chart</t>
  </si>
  <si>
    <t>Lookback Period</t>
  </si>
  <si>
    <t xml:space="preserve">This is a fully automated spreadsheet. </t>
  </si>
  <si>
    <t>Import of historical prices from popular stock/ETF from a web service</t>
  </si>
  <si>
    <t>Usage:</t>
  </si>
  <si>
    <t>Twitter: @jishbee</t>
  </si>
  <si>
    <t>http://investsolver.com</t>
  </si>
  <si>
    <t xml:space="preserve"> Input an Index or a Stock Symbol, Start and End Dates for prices. Enter a wide range of dates, and a lookback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</si>
</sst>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6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3" xfId="0" applyFont="1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1"/>
    <xf numFmtId="0" fontId="1" fillId="0" borderId="1" xfId="0" applyFont="1" applyBorder="1"/>
    <xf numFmtId="0" fontId="5" fillId="0" borderId="0" xfId="0" applyFont="1"/>
    <xf numFmtId="0" fontId="0" fillId="0" borderId="0" xfId="0" applyFont="1"/>
    <xf numFmtId="0" fontId="3" fillId="0" borderId="0" xfId="1" applyFont="1"/>
    <xf numFmtId="0" fontId="7" fillId="0" borderId="0" xfId="2" applyFont="1"/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Stochastic Oscillator for ^RUT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Close Price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41737</c:v>
                </c:pt>
                <c:pt idx="1">
                  <c:v>41738</c:v>
                </c:pt>
                <c:pt idx="2">
                  <c:v>41739</c:v>
                </c:pt>
                <c:pt idx="3">
                  <c:v>41740</c:v>
                </c:pt>
                <c:pt idx="4">
                  <c:v>41743</c:v>
                </c:pt>
                <c:pt idx="5">
                  <c:v>41744</c:v>
                </c:pt>
                <c:pt idx="6">
                  <c:v>41745</c:v>
                </c:pt>
                <c:pt idx="7">
                  <c:v>41746</c:v>
                </c:pt>
                <c:pt idx="8">
                  <c:v>41750</c:v>
                </c:pt>
                <c:pt idx="9">
                  <c:v>41751</c:v>
                </c:pt>
                <c:pt idx="10">
                  <c:v>41752</c:v>
                </c:pt>
                <c:pt idx="11">
                  <c:v>41753</c:v>
                </c:pt>
                <c:pt idx="12">
                  <c:v>41754</c:v>
                </c:pt>
                <c:pt idx="13">
                  <c:v>41757</c:v>
                </c:pt>
                <c:pt idx="14">
                  <c:v>41758</c:v>
                </c:pt>
                <c:pt idx="15">
                  <c:v>41759</c:v>
                </c:pt>
                <c:pt idx="16">
                  <c:v>41760</c:v>
                </c:pt>
                <c:pt idx="17">
                  <c:v>41761</c:v>
                </c:pt>
                <c:pt idx="18">
                  <c:v>41764</c:v>
                </c:pt>
                <c:pt idx="19">
                  <c:v>41765</c:v>
                </c:pt>
                <c:pt idx="20">
                  <c:v>41766</c:v>
                </c:pt>
                <c:pt idx="21">
                  <c:v>41767</c:v>
                </c:pt>
                <c:pt idx="22">
                  <c:v>41768</c:v>
                </c:pt>
                <c:pt idx="23">
                  <c:v>41771</c:v>
                </c:pt>
                <c:pt idx="24">
                  <c:v>41772</c:v>
                </c:pt>
                <c:pt idx="25">
                  <c:v>41773</c:v>
                </c:pt>
                <c:pt idx="26">
                  <c:v>41774</c:v>
                </c:pt>
                <c:pt idx="27">
                  <c:v>41775</c:v>
                </c:pt>
                <c:pt idx="28">
                  <c:v>41778</c:v>
                </c:pt>
                <c:pt idx="29">
                  <c:v>41779</c:v>
                </c:pt>
                <c:pt idx="30">
                  <c:v>41780</c:v>
                </c:pt>
                <c:pt idx="31">
                  <c:v>41781</c:v>
                </c:pt>
                <c:pt idx="32">
                  <c:v>41782</c:v>
                </c:pt>
                <c:pt idx="33">
                  <c:v>41786</c:v>
                </c:pt>
                <c:pt idx="34">
                  <c:v>41787</c:v>
                </c:pt>
                <c:pt idx="35">
                  <c:v>41788</c:v>
                </c:pt>
                <c:pt idx="36">
                  <c:v>41789</c:v>
                </c:pt>
                <c:pt idx="37">
                  <c:v>41792</c:v>
                </c:pt>
                <c:pt idx="38">
                  <c:v>41793</c:v>
                </c:pt>
                <c:pt idx="39">
                  <c:v>41794</c:v>
                </c:pt>
                <c:pt idx="40">
                  <c:v>41795</c:v>
                </c:pt>
                <c:pt idx="41">
                  <c:v>41796</c:v>
                </c:pt>
                <c:pt idx="42">
                  <c:v>41799</c:v>
                </c:pt>
                <c:pt idx="43">
                  <c:v>41800</c:v>
                </c:pt>
                <c:pt idx="44">
                  <c:v>41801</c:v>
                </c:pt>
                <c:pt idx="45">
                  <c:v>41802</c:v>
                </c:pt>
                <c:pt idx="46">
                  <c:v>41803</c:v>
                </c:pt>
                <c:pt idx="47">
                  <c:v>41806</c:v>
                </c:pt>
                <c:pt idx="48">
                  <c:v>41807</c:v>
                </c:pt>
                <c:pt idx="49">
                  <c:v>41808</c:v>
                </c:pt>
                <c:pt idx="50">
                  <c:v>41809</c:v>
                </c:pt>
                <c:pt idx="51">
                  <c:v>41810</c:v>
                </c:pt>
                <c:pt idx="52">
                  <c:v>41813</c:v>
                </c:pt>
                <c:pt idx="53">
                  <c:v>41814</c:v>
                </c:pt>
                <c:pt idx="54">
                  <c:v>41815</c:v>
                </c:pt>
                <c:pt idx="55">
                  <c:v>41816</c:v>
                </c:pt>
                <c:pt idx="56">
                  <c:v>41817</c:v>
                </c:pt>
                <c:pt idx="57">
                  <c:v>41820</c:v>
                </c:pt>
                <c:pt idx="58">
                  <c:v>41821</c:v>
                </c:pt>
                <c:pt idx="59">
                  <c:v>41822</c:v>
                </c:pt>
                <c:pt idx="60">
                  <c:v>41823</c:v>
                </c:pt>
                <c:pt idx="61">
                  <c:v>41827</c:v>
                </c:pt>
                <c:pt idx="62">
                  <c:v>41828</c:v>
                </c:pt>
                <c:pt idx="63">
                  <c:v>41829</c:v>
                </c:pt>
                <c:pt idx="64">
                  <c:v>41830</c:v>
                </c:pt>
                <c:pt idx="65">
                  <c:v>41831</c:v>
                </c:pt>
                <c:pt idx="66">
                  <c:v>41834</c:v>
                </c:pt>
                <c:pt idx="67">
                  <c:v>41835</c:v>
                </c:pt>
                <c:pt idx="68">
                  <c:v>41836</c:v>
                </c:pt>
                <c:pt idx="69">
                  <c:v>41837</c:v>
                </c:pt>
                <c:pt idx="70">
                  <c:v>41838</c:v>
                </c:pt>
                <c:pt idx="71">
                  <c:v>41841</c:v>
                </c:pt>
                <c:pt idx="72">
                  <c:v>41842</c:v>
                </c:pt>
                <c:pt idx="73">
                  <c:v>41843</c:v>
                </c:pt>
                <c:pt idx="74">
                  <c:v>41844</c:v>
                </c:pt>
                <c:pt idx="75">
                  <c:v>41845</c:v>
                </c:pt>
                <c:pt idx="76">
                  <c:v>41848</c:v>
                </c:pt>
                <c:pt idx="77">
                  <c:v>41849</c:v>
                </c:pt>
                <c:pt idx="78">
                  <c:v>41850</c:v>
                </c:pt>
                <c:pt idx="79">
                  <c:v>41851</c:v>
                </c:pt>
                <c:pt idx="80">
                  <c:v>41852</c:v>
                </c:pt>
                <c:pt idx="81">
                  <c:v>41855</c:v>
                </c:pt>
                <c:pt idx="82">
                  <c:v>41856</c:v>
                </c:pt>
                <c:pt idx="83">
                  <c:v>41857</c:v>
                </c:pt>
                <c:pt idx="84">
                  <c:v>41858</c:v>
                </c:pt>
                <c:pt idx="85">
                  <c:v>41859</c:v>
                </c:pt>
                <c:pt idx="86">
                  <c:v>41862</c:v>
                </c:pt>
                <c:pt idx="87">
                  <c:v>41863</c:v>
                </c:pt>
                <c:pt idx="88">
                  <c:v>41864</c:v>
                </c:pt>
                <c:pt idx="89">
                  <c:v>41865</c:v>
                </c:pt>
                <c:pt idx="90">
                  <c:v>41866</c:v>
                </c:pt>
                <c:pt idx="91">
                  <c:v>41869</c:v>
                </c:pt>
                <c:pt idx="92">
                  <c:v>41870</c:v>
                </c:pt>
                <c:pt idx="93">
                  <c:v>41871</c:v>
                </c:pt>
                <c:pt idx="94">
                  <c:v>41872</c:v>
                </c:pt>
                <c:pt idx="95">
                  <c:v>41873</c:v>
                </c:pt>
                <c:pt idx="96">
                  <c:v>41876</c:v>
                </c:pt>
                <c:pt idx="97">
                  <c:v>41877</c:v>
                </c:pt>
                <c:pt idx="98">
                  <c:v>41878</c:v>
                </c:pt>
                <c:pt idx="99">
                  <c:v>41879</c:v>
                </c:pt>
                <c:pt idx="100">
                  <c:v>41880</c:v>
                </c:pt>
                <c:pt idx="101">
                  <c:v>41884</c:v>
                </c:pt>
                <c:pt idx="102">
                  <c:v>41885</c:v>
                </c:pt>
                <c:pt idx="103">
                  <c:v>41886</c:v>
                </c:pt>
                <c:pt idx="104">
                  <c:v>41887</c:v>
                </c:pt>
                <c:pt idx="105">
                  <c:v>41890</c:v>
                </c:pt>
                <c:pt idx="106">
                  <c:v>41891</c:v>
                </c:pt>
                <c:pt idx="107">
                  <c:v>41892</c:v>
                </c:pt>
                <c:pt idx="108">
                  <c:v>41893</c:v>
                </c:pt>
                <c:pt idx="109">
                  <c:v>41894</c:v>
                </c:pt>
                <c:pt idx="110">
                  <c:v>41897</c:v>
                </c:pt>
                <c:pt idx="111">
                  <c:v>41898</c:v>
                </c:pt>
                <c:pt idx="112">
                  <c:v>41899</c:v>
                </c:pt>
                <c:pt idx="113">
                  <c:v>41900</c:v>
                </c:pt>
                <c:pt idx="114">
                  <c:v>41901</c:v>
                </c:pt>
                <c:pt idx="115">
                  <c:v>41904</c:v>
                </c:pt>
                <c:pt idx="116">
                  <c:v>41905</c:v>
                </c:pt>
                <c:pt idx="117">
                  <c:v>41906</c:v>
                </c:pt>
                <c:pt idx="118">
                  <c:v>41907</c:v>
                </c:pt>
                <c:pt idx="119">
                  <c:v>41908</c:v>
                </c:pt>
                <c:pt idx="120">
                  <c:v>41911</c:v>
                </c:pt>
                <c:pt idx="121">
                  <c:v>41912</c:v>
                </c:pt>
                <c:pt idx="122">
                  <c:v>41913</c:v>
                </c:pt>
                <c:pt idx="123">
                  <c:v>41914</c:v>
                </c:pt>
                <c:pt idx="124">
                  <c:v>41915</c:v>
                </c:pt>
              </c:numCache>
            </c:numRef>
          </c:cat>
          <c:val>
            <c:numRef>
              <c:f>Data!$E$2:$E$126</c:f>
              <c:numCache>
                <c:formatCode>General</c:formatCode>
                <c:ptCount val="125"/>
                <c:pt idx="0">
                  <c:v>1144.24</c:v>
                </c:pt>
                <c:pt idx="1">
                  <c:v>1159.96</c:v>
                </c:pt>
                <c:pt idx="2">
                  <c:v>1127.6600000000001</c:v>
                </c:pt>
                <c:pt idx="3">
                  <c:v>1111.44</c:v>
                </c:pt>
                <c:pt idx="4">
                  <c:v>1115.3499999999999</c:v>
                </c:pt>
                <c:pt idx="5">
                  <c:v>1119.49</c:v>
                </c:pt>
                <c:pt idx="6">
                  <c:v>1131.77</c:v>
                </c:pt>
                <c:pt idx="7">
                  <c:v>1137.9000000000001</c:v>
                </c:pt>
                <c:pt idx="8">
                  <c:v>1142.31</c:v>
                </c:pt>
                <c:pt idx="9">
                  <c:v>1155.6099999999999</c:v>
                </c:pt>
                <c:pt idx="10">
                  <c:v>1147.08</c:v>
                </c:pt>
                <c:pt idx="11">
                  <c:v>1144.3499999999999</c:v>
                </c:pt>
                <c:pt idx="12">
                  <c:v>1123.03</c:v>
                </c:pt>
                <c:pt idx="13">
                  <c:v>1117.06</c:v>
                </c:pt>
                <c:pt idx="14">
                  <c:v>1120.83</c:v>
                </c:pt>
                <c:pt idx="15">
                  <c:v>1126.8599999999999</c:v>
                </c:pt>
                <c:pt idx="16">
                  <c:v>1125.97</c:v>
                </c:pt>
                <c:pt idx="17">
                  <c:v>1128.8</c:v>
                </c:pt>
                <c:pt idx="18">
                  <c:v>1126.3</c:v>
                </c:pt>
                <c:pt idx="19">
                  <c:v>1108.01</c:v>
                </c:pt>
                <c:pt idx="20">
                  <c:v>1108.55</c:v>
                </c:pt>
                <c:pt idx="21">
                  <c:v>1097.43</c:v>
                </c:pt>
                <c:pt idx="22">
                  <c:v>1107.22</c:v>
                </c:pt>
                <c:pt idx="23">
                  <c:v>1133.6500000000001</c:v>
                </c:pt>
                <c:pt idx="24">
                  <c:v>1121.1600000000001</c:v>
                </c:pt>
                <c:pt idx="25">
                  <c:v>1103.1400000000001</c:v>
                </c:pt>
                <c:pt idx="26">
                  <c:v>1095.99</c:v>
                </c:pt>
                <c:pt idx="27">
                  <c:v>1102.9100000000001</c:v>
                </c:pt>
                <c:pt idx="28">
                  <c:v>1114.43</c:v>
                </c:pt>
                <c:pt idx="29">
                  <c:v>1097.9000000000001</c:v>
                </c:pt>
                <c:pt idx="30">
                  <c:v>1103.6300000000001</c:v>
                </c:pt>
                <c:pt idx="31">
                  <c:v>1113.8699999999999</c:v>
                </c:pt>
                <c:pt idx="32">
                  <c:v>1126.19</c:v>
                </c:pt>
                <c:pt idx="33">
                  <c:v>1142.2</c:v>
                </c:pt>
                <c:pt idx="34">
                  <c:v>1136.68</c:v>
                </c:pt>
                <c:pt idx="35">
                  <c:v>1140.07</c:v>
                </c:pt>
                <c:pt idx="36">
                  <c:v>1134.5</c:v>
                </c:pt>
                <c:pt idx="37">
                  <c:v>1128.9000000000001</c:v>
                </c:pt>
                <c:pt idx="38">
                  <c:v>1126.1500000000001</c:v>
                </c:pt>
                <c:pt idx="39">
                  <c:v>1131.22</c:v>
                </c:pt>
                <c:pt idx="40">
                  <c:v>1153.94</c:v>
                </c:pt>
                <c:pt idx="41">
                  <c:v>1165.21</c:v>
                </c:pt>
                <c:pt idx="42">
                  <c:v>1175.8800000000001</c:v>
                </c:pt>
                <c:pt idx="43">
                  <c:v>1172.71</c:v>
                </c:pt>
                <c:pt idx="44">
                  <c:v>1166.71</c:v>
                </c:pt>
                <c:pt idx="45">
                  <c:v>1159.4000000000001</c:v>
                </c:pt>
                <c:pt idx="46">
                  <c:v>1162.68</c:v>
                </c:pt>
                <c:pt idx="47">
                  <c:v>1166.82</c:v>
                </c:pt>
                <c:pt idx="48">
                  <c:v>1176.6199999999999</c:v>
                </c:pt>
                <c:pt idx="49">
                  <c:v>1183.1300000000001</c:v>
                </c:pt>
                <c:pt idx="50">
                  <c:v>1184.03</c:v>
                </c:pt>
                <c:pt idx="51">
                  <c:v>1188.43</c:v>
                </c:pt>
                <c:pt idx="52">
                  <c:v>1184.95</c:v>
                </c:pt>
                <c:pt idx="53">
                  <c:v>1173.24</c:v>
                </c:pt>
                <c:pt idx="54">
                  <c:v>1182.68</c:v>
                </c:pt>
                <c:pt idx="55">
                  <c:v>1180.71</c:v>
                </c:pt>
                <c:pt idx="56">
                  <c:v>1189.5</c:v>
                </c:pt>
                <c:pt idx="57">
                  <c:v>1192.96</c:v>
                </c:pt>
                <c:pt idx="58">
                  <c:v>1205.95</c:v>
                </c:pt>
                <c:pt idx="59">
                  <c:v>1199.5</c:v>
                </c:pt>
                <c:pt idx="60">
                  <c:v>1208.1500000000001</c:v>
                </c:pt>
                <c:pt idx="61">
                  <c:v>1186.74</c:v>
                </c:pt>
                <c:pt idx="62">
                  <c:v>1172.1500000000001</c:v>
                </c:pt>
                <c:pt idx="63">
                  <c:v>1173.81</c:v>
                </c:pt>
                <c:pt idx="64">
                  <c:v>1161.8599999999999</c:v>
                </c:pt>
                <c:pt idx="65">
                  <c:v>1159.93</c:v>
                </c:pt>
                <c:pt idx="66">
                  <c:v>1167.21</c:v>
                </c:pt>
                <c:pt idx="67">
                  <c:v>1153.81</c:v>
                </c:pt>
                <c:pt idx="68">
                  <c:v>1151.55</c:v>
                </c:pt>
                <c:pt idx="69">
                  <c:v>1133.5999999999999</c:v>
                </c:pt>
                <c:pt idx="70">
                  <c:v>1151.6099999999999</c:v>
                </c:pt>
                <c:pt idx="71">
                  <c:v>1146.6600000000001</c:v>
                </c:pt>
                <c:pt idx="72">
                  <c:v>1156.1500000000001</c:v>
                </c:pt>
                <c:pt idx="73">
                  <c:v>1158.1099999999999</c:v>
                </c:pt>
                <c:pt idx="74">
                  <c:v>1156.26</c:v>
                </c:pt>
                <c:pt idx="75">
                  <c:v>1144.72</c:v>
                </c:pt>
                <c:pt idx="76">
                  <c:v>1139.5</c:v>
                </c:pt>
                <c:pt idx="77">
                  <c:v>1141.6400000000001</c:v>
                </c:pt>
                <c:pt idx="78">
                  <c:v>1146.57</c:v>
                </c:pt>
                <c:pt idx="79">
                  <c:v>1120.07</c:v>
                </c:pt>
                <c:pt idx="80">
                  <c:v>1114.8599999999999</c:v>
                </c:pt>
                <c:pt idx="81">
                  <c:v>1124.82</c:v>
                </c:pt>
                <c:pt idx="82">
                  <c:v>1121.56</c:v>
                </c:pt>
                <c:pt idx="83">
                  <c:v>1125.55</c:v>
                </c:pt>
                <c:pt idx="84">
                  <c:v>1119.76</c:v>
                </c:pt>
                <c:pt idx="85">
                  <c:v>1131.3499999999999</c:v>
                </c:pt>
                <c:pt idx="86">
                  <c:v>1141.93</c:v>
                </c:pt>
                <c:pt idx="87">
                  <c:v>1133.03</c:v>
                </c:pt>
                <c:pt idx="88">
                  <c:v>1141.78</c:v>
                </c:pt>
                <c:pt idx="89">
                  <c:v>1143.3399999999999</c:v>
                </c:pt>
                <c:pt idx="90">
                  <c:v>1141.6500000000001</c:v>
                </c:pt>
                <c:pt idx="91">
                  <c:v>1158.4000000000001</c:v>
                </c:pt>
                <c:pt idx="92">
                  <c:v>1162.47</c:v>
                </c:pt>
                <c:pt idx="93">
                  <c:v>1157.51</c:v>
                </c:pt>
                <c:pt idx="94">
                  <c:v>1160.03</c:v>
                </c:pt>
                <c:pt idx="95">
                  <c:v>1160.3399999999999</c:v>
                </c:pt>
                <c:pt idx="96">
                  <c:v>1165.22</c:v>
                </c:pt>
                <c:pt idx="97">
                  <c:v>1175.17</c:v>
                </c:pt>
                <c:pt idx="98">
                  <c:v>1172.71</c:v>
                </c:pt>
                <c:pt idx="99">
                  <c:v>1165.95</c:v>
                </c:pt>
                <c:pt idx="100">
                  <c:v>1174.3499999999999</c:v>
                </c:pt>
                <c:pt idx="101">
                  <c:v>1179.47</c:v>
                </c:pt>
                <c:pt idx="102">
                  <c:v>1172.2</c:v>
                </c:pt>
                <c:pt idx="103">
                  <c:v>1167.21</c:v>
                </c:pt>
                <c:pt idx="104">
                  <c:v>1170.1300000000001</c:v>
                </c:pt>
                <c:pt idx="105">
                  <c:v>1172.31</c:v>
                </c:pt>
                <c:pt idx="106">
                  <c:v>1158.5</c:v>
                </c:pt>
                <c:pt idx="107">
                  <c:v>1164.99</c:v>
                </c:pt>
                <c:pt idx="108">
                  <c:v>1172.3399999999999</c:v>
                </c:pt>
                <c:pt idx="109">
                  <c:v>1160.6099999999999</c:v>
                </c:pt>
                <c:pt idx="110">
                  <c:v>1146.52</c:v>
                </c:pt>
                <c:pt idx="111">
                  <c:v>1150.97</c:v>
                </c:pt>
                <c:pt idx="112">
                  <c:v>1153.8900000000001</c:v>
                </c:pt>
                <c:pt idx="113">
                  <c:v>1159.27</c:v>
                </c:pt>
                <c:pt idx="114">
                  <c:v>1146.92</c:v>
                </c:pt>
                <c:pt idx="115">
                  <c:v>1129.3599999999999</c:v>
                </c:pt>
                <c:pt idx="116">
                  <c:v>1118.72</c:v>
                </c:pt>
                <c:pt idx="117">
                  <c:v>1128.31</c:v>
                </c:pt>
                <c:pt idx="118">
                  <c:v>1110.24</c:v>
                </c:pt>
                <c:pt idx="119">
                  <c:v>1119.33</c:v>
                </c:pt>
                <c:pt idx="120">
                  <c:v>1117.9100000000001</c:v>
                </c:pt>
                <c:pt idx="121">
                  <c:v>1101.68</c:v>
                </c:pt>
                <c:pt idx="122">
                  <c:v>1085.4100000000001</c:v>
                </c:pt>
                <c:pt idx="123">
                  <c:v>1096.3800000000001</c:v>
                </c:pt>
                <c:pt idx="124">
                  <c:v>1104.74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08928"/>
        <c:axId val="370510464"/>
      </c:lineChart>
      <c:lineChart>
        <c:grouping val="standard"/>
        <c:varyColors val="0"/>
        <c:ser>
          <c:idx val="0"/>
          <c:order val="0"/>
          <c:tx>
            <c:v>%K</c:v>
          </c:tx>
          <c:spPr>
            <a:ln w="12700"/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41737</c:v>
                </c:pt>
                <c:pt idx="1">
                  <c:v>41738</c:v>
                </c:pt>
                <c:pt idx="2">
                  <c:v>41739</c:v>
                </c:pt>
                <c:pt idx="3">
                  <c:v>41740</c:v>
                </c:pt>
                <c:pt idx="4">
                  <c:v>41743</c:v>
                </c:pt>
                <c:pt idx="5">
                  <c:v>41744</c:v>
                </c:pt>
                <c:pt idx="6">
                  <c:v>41745</c:v>
                </c:pt>
                <c:pt idx="7">
                  <c:v>41746</c:v>
                </c:pt>
                <c:pt idx="8">
                  <c:v>41750</c:v>
                </c:pt>
                <c:pt idx="9">
                  <c:v>41751</c:v>
                </c:pt>
                <c:pt idx="10">
                  <c:v>41752</c:v>
                </c:pt>
                <c:pt idx="11">
                  <c:v>41753</c:v>
                </c:pt>
                <c:pt idx="12">
                  <c:v>41754</c:v>
                </c:pt>
                <c:pt idx="13">
                  <c:v>41757</c:v>
                </c:pt>
                <c:pt idx="14">
                  <c:v>41758</c:v>
                </c:pt>
                <c:pt idx="15">
                  <c:v>41759</c:v>
                </c:pt>
                <c:pt idx="16">
                  <c:v>41760</c:v>
                </c:pt>
                <c:pt idx="17">
                  <c:v>41761</c:v>
                </c:pt>
                <c:pt idx="18">
                  <c:v>41764</c:v>
                </c:pt>
                <c:pt idx="19">
                  <c:v>41765</c:v>
                </c:pt>
                <c:pt idx="20">
                  <c:v>41766</c:v>
                </c:pt>
                <c:pt idx="21">
                  <c:v>41767</c:v>
                </c:pt>
                <c:pt idx="22">
                  <c:v>41768</c:v>
                </c:pt>
                <c:pt idx="23">
                  <c:v>41771</c:v>
                </c:pt>
                <c:pt idx="24">
                  <c:v>41772</c:v>
                </c:pt>
                <c:pt idx="25">
                  <c:v>41773</c:v>
                </c:pt>
                <c:pt idx="26">
                  <c:v>41774</c:v>
                </c:pt>
                <c:pt idx="27">
                  <c:v>41775</c:v>
                </c:pt>
                <c:pt idx="28">
                  <c:v>41778</c:v>
                </c:pt>
                <c:pt idx="29">
                  <c:v>41779</c:v>
                </c:pt>
                <c:pt idx="30">
                  <c:v>41780</c:v>
                </c:pt>
                <c:pt idx="31">
                  <c:v>41781</c:v>
                </c:pt>
                <c:pt idx="32">
                  <c:v>41782</c:v>
                </c:pt>
                <c:pt idx="33">
                  <c:v>41786</c:v>
                </c:pt>
                <c:pt idx="34">
                  <c:v>41787</c:v>
                </c:pt>
                <c:pt idx="35">
                  <c:v>41788</c:v>
                </c:pt>
                <c:pt idx="36">
                  <c:v>41789</c:v>
                </c:pt>
                <c:pt idx="37">
                  <c:v>41792</c:v>
                </c:pt>
                <c:pt idx="38">
                  <c:v>41793</c:v>
                </c:pt>
                <c:pt idx="39">
                  <c:v>41794</c:v>
                </c:pt>
                <c:pt idx="40">
                  <c:v>41795</c:v>
                </c:pt>
                <c:pt idx="41">
                  <c:v>41796</c:v>
                </c:pt>
                <c:pt idx="42">
                  <c:v>41799</c:v>
                </c:pt>
                <c:pt idx="43">
                  <c:v>41800</c:v>
                </c:pt>
                <c:pt idx="44">
                  <c:v>41801</c:v>
                </c:pt>
                <c:pt idx="45">
                  <c:v>41802</c:v>
                </c:pt>
                <c:pt idx="46">
                  <c:v>41803</c:v>
                </c:pt>
                <c:pt idx="47">
                  <c:v>41806</c:v>
                </c:pt>
                <c:pt idx="48">
                  <c:v>41807</c:v>
                </c:pt>
                <c:pt idx="49">
                  <c:v>41808</c:v>
                </c:pt>
                <c:pt idx="50">
                  <c:v>41809</c:v>
                </c:pt>
                <c:pt idx="51">
                  <c:v>41810</c:v>
                </c:pt>
                <c:pt idx="52">
                  <c:v>41813</c:v>
                </c:pt>
                <c:pt idx="53">
                  <c:v>41814</c:v>
                </c:pt>
                <c:pt idx="54">
                  <c:v>41815</c:v>
                </c:pt>
                <c:pt idx="55">
                  <c:v>41816</c:v>
                </c:pt>
                <c:pt idx="56">
                  <c:v>41817</c:v>
                </c:pt>
                <c:pt idx="57">
                  <c:v>41820</c:v>
                </c:pt>
                <c:pt idx="58">
                  <c:v>41821</c:v>
                </c:pt>
                <c:pt idx="59">
                  <c:v>41822</c:v>
                </c:pt>
                <c:pt idx="60">
                  <c:v>41823</c:v>
                </c:pt>
                <c:pt idx="61">
                  <c:v>41827</c:v>
                </c:pt>
                <c:pt idx="62">
                  <c:v>41828</c:v>
                </c:pt>
                <c:pt idx="63">
                  <c:v>41829</c:v>
                </c:pt>
                <c:pt idx="64">
                  <c:v>41830</c:v>
                </c:pt>
                <c:pt idx="65">
                  <c:v>41831</c:v>
                </c:pt>
                <c:pt idx="66">
                  <c:v>41834</c:v>
                </c:pt>
                <c:pt idx="67">
                  <c:v>41835</c:v>
                </c:pt>
                <c:pt idx="68">
                  <c:v>41836</c:v>
                </c:pt>
                <c:pt idx="69">
                  <c:v>41837</c:v>
                </c:pt>
                <c:pt idx="70">
                  <c:v>41838</c:v>
                </c:pt>
                <c:pt idx="71">
                  <c:v>41841</c:v>
                </c:pt>
                <c:pt idx="72">
                  <c:v>41842</c:v>
                </c:pt>
                <c:pt idx="73">
                  <c:v>41843</c:v>
                </c:pt>
                <c:pt idx="74">
                  <c:v>41844</c:v>
                </c:pt>
                <c:pt idx="75">
                  <c:v>41845</c:v>
                </c:pt>
                <c:pt idx="76">
                  <c:v>41848</c:v>
                </c:pt>
                <c:pt idx="77">
                  <c:v>41849</c:v>
                </c:pt>
                <c:pt idx="78">
                  <c:v>41850</c:v>
                </c:pt>
                <c:pt idx="79">
                  <c:v>41851</c:v>
                </c:pt>
                <c:pt idx="80">
                  <c:v>41852</c:v>
                </c:pt>
                <c:pt idx="81">
                  <c:v>41855</c:v>
                </c:pt>
                <c:pt idx="82">
                  <c:v>41856</c:v>
                </c:pt>
                <c:pt idx="83">
                  <c:v>41857</c:v>
                </c:pt>
                <c:pt idx="84">
                  <c:v>41858</c:v>
                </c:pt>
                <c:pt idx="85">
                  <c:v>41859</c:v>
                </c:pt>
                <c:pt idx="86">
                  <c:v>41862</c:v>
                </c:pt>
                <c:pt idx="87">
                  <c:v>41863</c:v>
                </c:pt>
                <c:pt idx="88">
                  <c:v>41864</c:v>
                </c:pt>
                <c:pt idx="89">
                  <c:v>41865</c:v>
                </c:pt>
                <c:pt idx="90">
                  <c:v>41866</c:v>
                </c:pt>
                <c:pt idx="91">
                  <c:v>41869</c:v>
                </c:pt>
                <c:pt idx="92">
                  <c:v>41870</c:v>
                </c:pt>
                <c:pt idx="93">
                  <c:v>41871</c:v>
                </c:pt>
                <c:pt idx="94">
                  <c:v>41872</c:v>
                </c:pt>
                <c:pt idx="95">
                  <c:v>41873</c:v>
                </c:pt>
                <c:pt idx="96">
                  <c:v>41876</c:v>
                </c:pt>
                <c:pt idx="97">
                  <c:v>41877</c:v>
                </c:pt>
                <c:pt idx="98">
                  <c:v>41878</c:v>
                </c:pt>
                <c:pt idx="99">
                  <c:v>41879</c:v>
                </c:pt>
                <c:pt idx="100">
                  <c:v>41880</c:v>
                </c:pt>
                <c:pt idx="101">
                  <c:v>41884</c:v>
                </c:pt>
                <c:pt idx="102">
                  <c:v>41885</c:v>
                </c:pt>
                <c:pt idx="103">
                  <c:v>41886</c:v>
                </c:pt>
                <c:pt idx="104">
                  <c:v>41887</c:v>
                </c:pt>
                <c:pt idx="105">
                  <c:v>41890</c:v>
                </c:pt>
                <c:pt idx="106">
                  <c:v>41891</c:v>
                </c:pt>
                <c:pt idx="107">
                  <c:v>41892</c:v>
                </c:pt>
                <c:pt idx="108">
                  <c:v>41893</c:v>
                </c:pt>
                <c:pt idx="109">
                  <c:v>41894</c:v>
                </c:pt>
                <c:pt idx="110">
                  <c:v>41897</c:v>
                </c:pt>
                <c:pt idx="111">
                  <c:v>41898</c:v>
                </c:pt>
                <c:pt idx="112">
                  <c:v>41899</c:v>
                </c:pt>
                <c:pt idx="113">
                  <c:v>41900</c:v>
                </c:pt>
                <c:pt idx="114">
                  <c:v>41901</c:v>
                </c:pt>
                <c:pt idx="115">
                  <c:v>41904</c:v>
                </c:pt>
                <c:pt idx="116">
                  <c:v>41905</c:v>
                </c:pt>
                <c:pt idx="117">
                  <c:v>41906</c:v>
                </c:pt>
                <c:pt idx="118">
                  <c:v>41907</c:v>
                </c:pt>
                <c:pt idx="119">
                  <c:v>41908</c:v>
                </c:pt>
                <c:pt idx="120">
                  <c:v>41911</c:v>
                </c:pt>
                <c:pt idx="121">
                  <c:v>41912</c:v>
                </c:pt>
                <c:pt idx="122">
                  <c:v>41913</c:v>
                </c:pt>
                <c:pt idx="123">
                  <c:v>41914</c:v>
                </c:pt>
                <c:pt idx="124">
                  <c:v>41915</c:v>
                </c:pt>
              </c:numCache>
            </c:numRef>
          </c:cat>
          <c:val>
            <c:numRef>
              <c:f>Data!$J$2:$J$126</c:f>
              <c:numCache>
                <c:formatCode>General</c:formatCode>
                <c:ptCount val="125"/>
                <c:pt idx="13">
                  <c:v>32.910413120841632</c:v>
                </c:pt>
                <c:pt idx="14">
                  <c:v>38.743617515085752</c:v>
                </c:pt>
                <c:pt idx="15">
                  <c:v>48.539290735822441</c:v>
                </c:pt>
                <c:pt idx="16">
                  <c:v>48.614690721649644</c:v>
                </c:pt>
                <c:pt idx="17">
                  <c:v>53.173324742268093</c:v>
                </c:pt>
                <c:pt idx="18">
                  <c:v>49.146262886597981</c:v>
                </c:pt>
                <c:pt idx="19">
                  <c:v>10.339866930408219</c:v>
                </c:pt>
                <c:pt idx="20">
                  <c:v>23.641430562006505</c:v>
                </c:pt>
                <c:pt idx="21">
                  <c:v>6.4251432110235278</c:v>
                </c:pt>
                <c:pt idx="22">
                  <c:v>23.685400030134176</c:v>
                </c:pt>
                <c:pt idx="23">
                  <c:v>65.941802252816089</c:v>
                </c:pt>
                <c:pt idx="24">
                  <c:v>48.369210697978005</c:v>
                </c:pt>
                <c:pt idx="25">
                  <c:v>24.50010524100211</c:v>
                </c:pt>
                <c:pt idx="26">
                  <c:v>24.35317532115079</c:v>
                </c:pt>
                <c:pt idx="27">
                  <c:v>36.873529943911912</c:v>
                </c:pt>
                <c:pt idx="28">
                  <c:v>57.716663651167174</c:v>
                </c:pt>
                <c:pt idx="29">
                  <c:v>27.808937941017049</c:v>
                </c:pt>
                <c:pt idx="30">
                  <c:v>38.17622580061542</c:v>
                </c:pt>
                <c:pt idx="31">
                  <c:v>57.589121646453279</c:v>
                </c:pt>
                <c:pt idx="32">
                  <c:v>80.227857405365725</c:v>
                </c:pt>
                <c:pt idx="33">
                  <c:v>96.914081533214443</c:v>
                </c:pt>
                <c:pt idx="34">
                  <c:v>87.948676303394748</c:v>
                </c:pt>
                <c:pt idx="35">
                  <c:v>93.454604515186006</c:v>
                </c:pt>
                <c:pt idx="36">
                  <c:v>84.407990904661489</c:v>
                </c:pt>
                <c:pt idx="37">
                  <c:v>75.312652265714092</c:v>
                </c:pt>
                <c:pt idx="38">
                  <c:v>70.846191326945203</c:v>
                </c:pt>
                <c:pt idx="39">
                  <c:v>79.080721130420827</c:v>
                </c:pt>
                <c:pt idx="40">
                  <c:v>100</c:v>
                </c:pt>
                <c:pt idx="41">
                  <c:v>96.915541435001415</c:v>
                </c:pt>
                <c:pt idx="42">
                  <c:v>95.491803278688735</c:v>
                </c:pt>
                <c:pt idx="43">
                  <c:v>91.725658581873162</c:v>
                </c:pt>
                <c:pt idx="44">
                  <c:v>82.420672111393884</c:v>
                </c:pt>
                <c:pt idx="45">
                  <c:v>69.072476925404985</c:v>
                </c:pt>
                <c:pt idx="46">
                  <c:v>71.951618175874628</c:v>
                </c:pt>
                <c:pt idx="47">
                  <c:v>78.718535469107522</c:v>
                </c:pt>
                <c:pt idx="48">
                  <c:v>94.736842105263094</c:v>
                </c:pt>
                <c:pt idx="49">
                  <c:v>99.613720642768854</c:v>
                </c:pt>
                <c:pt idx="50">
                  <c:v>95.963006459189657</c:v>
                </c:pt>
                <c:pt idx="51">
                  <c:v>99.871170913255199</c:v>
                </c:pt>
                <c:pt idx="52">
                  <c:v>92.391767210787947</c:v>
                </c:pt>
                <c:pt idx="53">
                  <c:v>68.773006134969393</c:v>
                </c:pt>
                <c:pt idx="54">
                  <c:v>72.192513368984336</c:v>
                </c:pt>
                <c:pt idx="55">
                  <c:v>67.175961293608665</c:v>
                </c:pt>
                <c:pt idx="56">
                  <c:v>89.559460147695674</c:v>
                </c:pt>
                <c:pt idx="57">
                  <c:v>98.370257193786927</c:v>
                </c:pt>
                <c:pt idx="58">
                  <c:v>87.166497804795839</c:v>
                </c:pt>
                <c:pt idx="59">
                  <c:v>76.274907125971055</c:v>
                </c:pt>
                <c:pt idx="60">
                  <c:v>90.261496844003858</c:v>
                </c:pt>
                <c:pt idx="61">
                  <c:v>46.251002405773839</c:v>
                </c:pt>
                <c:pt idx="62">
                  <c:v>11.120652640618445</c:v>
                </c:pt>
                <c:pt idx="63">
                  <c:v>14.684413911549868</c:v>
                </c:pt>
                <c:pt idx="64">
                  <c:v>17.203267659778952</c:v>
                </c:pt>
                <c:pt idx="65">
                  <c:v>14.111805221848734</c:v>
                </c:pt>
                <c:pt idx="66">
                  <c:v>25.772865609482825</c:v>
                </c:pt>
                <c:pt idx="67">
                  <c:v>7.8370873187286829</c:v>
                </c:pt>
                <c:pt idx="68">
                  <c:v>5.1552700015295949</c:v>
                </c:pt>
                <c:pt idx="69">
                  <c:v>2.6543285035916711</c:v>
                </c:pt>
                <c:pt idx="70">
                  <c:v>24.582978205284132</c:v>
                </c:pt>
                <c:pt idx="71">
                  <c:v>18.555947887495471</c:v>
                </c:pt>
                <c:pt idx="72">
                  <c:v>32.229897041574368</c:v>
                </c:pt>
                <c:pt idx="73">
                  <c:v>34.784308614622475</c:v>
                </c:pt>
                <c:pt idx="74">
                  <c:v>33.920524375255923</c:v>
                </c:pt>
                <c:pt idx="75">
                  <c:v>24.953095684802935</c:v>
                </c:pt>
                <c:pt idx="76">
                  <c:v>17.584330794341589</c:v>
                </c:pt>
                <c:pt idx="77">
                  <c:v>26.803042223970781</c:v>
                </c:pt>
                <c:pt idx="78">
                  <c:v>39.732494099134307</c:v>
                </c:pt>
                <c:pt idx="79">
                  <c:v>2.0206102242858969E-2</c:v>
                </c:pt>
                <c:pt idx="80">
                  <c:v>12.554040571998573</c:v>
                </c:pt>
                <c:pt idx="81">
                  <c:v>31.073646850044273</c:v>
                </c:pt>
                <c:pt idx="82">
                  <c:v>25.288376220053177</c:v>
                </c:pt>
                <c:pt idx="83">
                  <c:v>32.369121561668088</c:v>
                </c:pt>
                <c:pt idx="84">
                  <c:v>22.094055013309699</c:v>
                </c:pt>
                <c:pt idx="85">
                  <c:v>42.661934338952804</c:v>
                </c:pt>
                <c:pt idx="86">
                  <c:v>61.437444543034673</c:v>
                </c:pt>
                <c:pt idx="87">
                  <c:v>45.643300798580242</c:v>
                </c:pt>
                <c:pt idx="88">
                  <c:v>79.607390300231089</c:v>
                </c:pt>
                <c:pt idx="89">
                  <c:v>83.210161662817569</c:v>
                </c:pt>
                <c:pt idx="90">
                  <c:v>77.516930022573774</c:v>
                </c:pt>
                <c:pt idx="91">
                  <c:v>100</c:v>
                </c:pt>
                <c:pt idx="92">
                  <c:v>97.198237885462703</c:v>
                </c:pt>
                <c:pt idx="93">
                  <c:v>88.458149779735763</c:v>
                </c:pt>
                <c:pt idx="94">
                  <c:v>92.77648324072419</c:v>
                </c:pt>
                <c:pt idx="95">
                  <c:v>92.525617842073487</c:v>
                </c:pt>
                <c:pt idx="96">
                  <c:v>90.301418439716272</c:v>
                </c:pt>
                <c:pt idx="97">
                  <c:v>98.408443625398192</c:v>
                </c:pt>
                <c:pt idx="98">
                  <c:v>92.557186753158234</c:v>
                </c:pt>
                <c:pt idx="99">
                  <c:v>76.814011676397243</c:v>
                </c:pt>
                <c:pt idx="100">
                  <c:v>94.328607172643814</c:v>
                </c:pt>
                <c:pt idx="101">
                  <c:v>96.164715381510163</c:v>
                </c:pt>
                <c:pt idx="102">
                  <c:v>77.6047673971552</c:v>
                </c:pt>
                <c:pt idx="103">
                  <c:v>68.012302960400078</c:v>
                </c:pt>
                <c:pt idx="104">
                  <c:v>62.307692307692719</c:v>
                </c:pt>
                <c:pt idx="105">
                  <c:v>68.296703296703271</c:v>
                </c:pt>
                <c:pt idx="106">
                  <c:v>30.357142857142843</c:v>
                </c:pt>
                <c:pt idx="107">
                  <c:v>48.186813186813268</c:v>
                </c:pt>
                <c:pt idx="108">
                  <c:v>60.159224645205811</c:v>
                </c:pt>
                <c:pt idx="109">
                  <c:v>19.137091162143349</c:v>
                </c:pt>
                <c:pt idx="110">
                  <c:v>5.349898580121474</c:v>
                </c:pt>
                <c:pt idx="111">
                  <c:v>22.452830188679272</c:v>
                </c:pt>
                <c:pt idx="112">
                  <c:v>29.339622641509656</c:v>
                </c:pt>
                <c:pt idx="113">
                  <c:v>42.028301886792434</c:v>
                </c:pt>
                <c:pt idx="114">
                  <c:v>12.900943396226522</c:v>
                </c:pt>
                <c:pt idx="115">
                  <c:v>3.4378876484136676</c:v>
                </c:pt>
                <c:pt idx="116">
                  <c:v>0</c:v>
                </c:pt>
                <c:pt idx="117">
                  <c:v>20.967464279565938</c:v>
                </c:pt>
                <c:pt idx="118">
                  <c:v>4.0923399790136665</c:v>
                </c:pt>
                <c:pt idx="119">
                  <c:v>18.062347188263946</c:v>
                </c:pt>
                <c:pt idx="120">
                  <c:v>15.892420537897436</c:v>
                </c:pt>
                <c:pt idx="121">
                  <c:v>1.4029180695834607E-2</c:v>
                </c:pt>
                <c:pt idx="122">
                  <c:v>2.6792662590328855</c:v>
                </c:pt>
                <c:pt idx="123">
                  <c:v>21.443538998835972</c:v>
                </c:pt>
                <c:pt idx="124">
                  <c:v>31.175785797438898</c:v>
                </c:pt>
              </c:numCache>
            </c:numRef>
          </c:val>
          <c:smooth val="0"/>
        </c:ser>
        <c:ser>
          <c:idx val="1"/>
          <c:order val="1"/>
          <c:tx>
            <c:v>%D</c:v>
          </c:tx>
          <c:spPr>
            <a:ln w="12700"/>
          </c:spPr>
          <c:marker>
            <c:symbol val="none"/>
          </c:marker>
          <c:cat>
            <c:numRef>
              <c:f>Data!$A$2:$A$126</c:f>
              <c:numCache>
                <c:formatCode>m/d/yyyy</c:formatCode>
                <c:ptCount val="125"/>
                <c:pt idx="0">
                  <c:v>41737</c:v>
                </c:pt>
                <c:pt idx="1">
                  <c:v>41738</c:v>
                </c:pt>
                <c:pt idx="2">
                  <c:v>41739</c:v>
                </c:pt>
                <c:pt idx="3">
                  <c:v>41740</c:v>
                </c:pt>
                <c:pt idx="4">
                  <c:v>41743</c:v>
                </c:pt>
                <c:pt idx="5">
                  <c:v>41744</c:v>
                </c:pt>
                <c:pt idx="6">
                  <c:v>41745</c:v>
                </c:pt>
                <c:pt idx="7">
                  <c:v>41746</c:v>
                </c:pt>
                <c:pt idx="8">
                  <c:v>41750</c:v>
                </c:pt>
                <c:pt idx="9">
                  <c:v>41751</c:v>
                </c:pt>
                <c:pt idx="10">
                  <c:v>41752</c:v>
                </c:pt>
                <c:pt idx="11">
                  <c:v>41753</c:v>
                </c:pt>
                <c:pt idx="12">
                  <c:v>41754</c:v>
                </c:pt>
                <c:pt idx="13">
                  <c:v>41757</c:v>
                </c:pt>
                <c:pt idx="14">
                  <c:v>41758</c:v>
                </c:pt>
                <c:pt idx="15">
                  <c:v>41759</c:v>
                </c:pt>
                <c:pt idx="16">
                  <c:v>41760</c:v>
                </c:pt>
                <c:pt idx="17">
                  <c:v>41761</c:v>
                </c:pt>
                <c:pt idx="18">
                  <c:v>41764</c:v>
                </c:pt>
                <c:pt idx="19">
                  <c:v>41765</c:v>
                </c:pt>
                <c:pt idx="20">
                  <c:v>41766</c:v>
                </c:pt>
                <c:pt idx="21">
                  <c:v>41767</c:v>
                </c:pt>
                <c:pt idx="22">
                  <c:v>41768</c:v>
                </c:pt>
                <c:pt idx="23">
                  <c:v>41771</c:v>
                </c:pt>
                <c:pt idx="24">
                  <c:v>41772</c:v>
                </c:pt>
                <c:pt idx="25">
                  <c:v>41773</c:v>
                </c:pt>
                <c:pt idx="26">
                  <c:v>41774</c:v>
                </c:pt>
                <c:pt idx="27">
                  <c:v>41775</c:v>
                </c:pt>
                <c:pt idx="28">
                  <c:v>41778</c:v>
                </c:pt>
                <c:pt idx="29">
                  <c:v>41779</c:v>
                </c:pt>
                <c:pt idx="30">
                  <c:v>41780</c:v>
                </c:pt>
                <c:pt idx="31">
                  <c:v>41781</c:v>
                </c:pt>
                <c:pt idx="32">
                  <c:v>41782</c:v>
                </c:pt>
                <c:pt idx="33">
                  <c:v>41786</c:v>
                </c:pt>
                <c:pt idx="34">
                  <c:v>41787</c:v>
                </c:pt>
                <c:pt idx="35">
                  <c:v>41788</c:v>
                </c:pt>
                <c:pt idx="36">
                  <c:v>41789</c:v>
                </c:pt>
                <c:pt idx="37">
                  <c:v>41792</c:v>
                </c:pt>
                <c:pt idx="38">
                  <c:v>41793</c:v>
                </c:pt>
                <c:pt idx="39">
                  <c:v>41794</c:v>
                </c:pt>
                <c:pt idx="40">
                  <c:v>41795</c:v>
                </c:pt>
                <c:pt idx="41">
                  <c:v>41796</c:v>
                </c:pt>
                <c:pt idx="42">
                  <c:v>41799</c:v>
                </c:pt>
                <c:pt idx="43">
                  <c:v>41800</c:v>
                </c:pt>
                <c:pt idx="44">
                  <c:v>41801</c:v>
                </c:pt>
                <c:pt idx="45">
                  <c:v>41802</c:v>
                </c:pt>
                <c:pt idx="46">
                  <c:v>41803</c:v>
                </c:pt>
                <c:pt idx="47">
                  <c:v>41806</c:v>
                </c:pt>
                <c:pt idx="48">
                  <c:v>41807</c:v>
                </c:pt>
                <c:pt idx="49">
                  <c:v>41808</c:v>
                </c:pt>
                <c:pt idx="50">
                  <c:v>41809</c:v>
                </c:pt>
                <c:pt idx="51">
                  <c:v>41810</c:v>
                </c:pt>
                <c:pt idx="52">
                  <c:v>41813</c:v>
                </c:pt>
                <c:pt idx="53">
                  <c:v>41814</c:v>
                </c:pt>
                <c:pt idx="54">
                  <c:v>41815</c:v>
                </c:pt>
                <c:pt idx="55">
                  <c:v>41816</c:v>
                </c:pt>
                <c:pt idx="56">
                  <c:v>41817</c:v>
                </c:pt>
                <c:pt idx="57">
                  <c:v>41820</c:v>
                </c:pt>
                <c:pt idx="58">
                  <c:v>41821</c:v>
                </c:pt>
                <c:pt idx="59">
                  <c:v>41822</c:v>
                </c:pt>
                <c:pt idx="60">
                  <c:v>41823</c:v>
                </c:pt>
                <c:pt idx="61">
                  <c:v>41827</c:v>
                </c:pt>
                <c:pt idx="62">
                  <c:v>41828</c:v>
                </c:pt>
                <c:pt idx="63">
                  <c:v>41829</c:v>
                </c:pt>
                <c:pt idx="64">
                  <c:v>41830</c:v>
                </c:pt>
                <c:pt idx="65">
                  <c:v>41831</c:v>
                </c:pt>
                <c:pt idx="66">
                  <c:v>41834</c:v>
                </c:pt>
                <c:pt idx="67">
                  <c:v>41835</c:v>
                </c:pt>
                <c:pt idx="68">
                  <c:v>41836</c:v>
                </c:pt>
                <c:pt idx="69">
                  <c:v>41837</c:v>
                </c:pt>
                <c:pt idx="70">
                  <c:v>41838</c:v>
                </c:pt>
                <c:pt idx="71">
                  <c:v>41841</c:v>
                </c:pt>
                <c:pt idx="72">
                  <c:v>41842</c:v>
                </c:pt>
                <c:pt idx="73">
                  <c:v>41843</c:v>
                </c:pt>
                <c:pt idx="74">
                  <c:v>41844</c:v>
                </c:pt>
                <c:pt idx="75">
                  <c:v>41845</c:v>
                </c:pt>
                <c:pt idx="76">
                  <c:v>41848</c:v>
                </c:pt>
                <c:pt idx="77">
                  <c:v>41849</c:v>
                </c:pt>
                <c:pt idx="78">
                  <c:v>41850</c:v>
                </c:pt>
                <c:pt idx="79">
                  <c:v>41851</c:v>
                </c:pt>
                <c:pt idx="80">
                  <c:v>41852</c:v>
                </c:pt>
                <c:pt idx="81">
                  <c:v>41855</c:v>
                </c:pt>
                <c:pt idx="82">
                  <c:v>41856</c:v>
                </c:pt>
                <c:pt idx="83">
                  <c:v>41857</c:v>
                </c:pt>
                <c:pt idx="84">
                  <c:v>41858</c:v>
                </c:pt>
                <c:pt idx="85">
                  <c:v>41859</c:v>
                </c:pt>
                <c:pt idx="86">
                  <c:v>41862</c:v>
                </c:pt>
                <c:pt idx="87">
                  <c:v>41863</c:v>
                </c:pt>
                <c:pt idx="88">
                  <c:v>41864</c:v>
                </c:pt>
                <c:pt idx="89">
                  <c:v>41865</c:v>
                </c:pt>
                <c:pt idx="90">
                  <c:v>41866</c:v>
                </c:pt>
                <c:pt idx="91">
                  <c:v>41869</c:v>
                </c:pt>
                <c:pt idx="92">
                  <c:v>41870</c:v>
                </c:pt>
                <c:pt idx="93">
                  <c:v>41871</c:v>
                </c:pt>
                <c:pt idx="94">
                  <c:v>41872</c:v>
                </c:pt>
                <c:pt idx="95">
                  <c:v>41873</c:v>
                </c:pt>
                <c:pt idx="96">
                  <c:v>41876</c:v>
                </c:pt>
                <c:pt idx="97">
                  <c:v>41877</c:v>
                </c:pt>
                <c:pt idx="98">
                  <c:v>41878</c:v>
                </c:pt>
                <c:pt idx="99">
                  <c:v>41879</c:v>
                </c:pt>
                <c:pt idx="100">
                  <c:v>41880</c:v>
                </c:pt>
                <c:pt idx="101">
                  <c:v>41884</c:v>
                </c:pt>
                <c:pt idx="102">
                  <c:v>41885</c:v>
                </c:pt>
                <c:pt idx="103">
                  <c:v>41886</c:v>
                </c:pt>
                <c:pt idx="104">
                  <c:v>41887</c:v>
                </c:pt>
                <c:pt idx="105">
                  <c:v>41890</c:v>
                </c:pt>
                <c:pt idx="106">
                  <c:v>41891</c:v>
                </c:pt>
                <c:pt idx="107">
                  <c:v>41892</c:v>
                </c:pt>
                <c:pt idx="108">
                  <c:v>41893</c:v>
                </c:pt>
                <c:pt idx="109">
                  <c:v>41894</c:v>
                </c:pt>
                <c:pt idx="110">
                  <c:v>41897</c:v>
                </c:pt>
                <c:pt idx="111">
                  <c:v>41898</c:v>
                </c:pt>
                <c:pt idx="112">
                  <c:v>41899</c:v>
                </c:pt>
                <c:pt idx="113">
                  <c:v>41900</c:v>
                </c:pt>
                <c:pt idx="114">
                  <c:v>41901</c:v>
                </c:pt>
                <c:pt idx="115">
                  <c:v>41904</c:v>
                </c:pt>
                <c:pt idx="116">
                  <c:v>41905</c:v>
                </c:pt>
                <c:pt idx="117">
                  <c:v>41906</c:v>
                </c:pt>
                <c:pt idx="118">
                  <c:v>41907</c:v>
                </c:pt>
                <c:pt idx="119">
                  <c:v>41908</c:v>
                </c:pt>
                <c:pt idx="120">
                  <c:v>41911</c:v>
                </c:pt>
                <c:pt idx="121">
                  <c:v>41912</c:v>
                </c:pt>
                <c:pt idx="122">
                  <c:v>41913</c:v>
                </c:pt>
                <c:pt idx="123">
                  <c:v>41914</c:v>
                </c:pt>
                <c:pt idx="124">
                  <c:v>41915</c:v>
                </c:pt>
              </c:numCache>
            </c:numRef>
          </c:cat>
          <c:val>
            <c:numRef>
              <c:f>Data!$K$2:$K$126</c:f>
              <c:numCache>
                <c:formatCode>General</c:formatCode>
                <c:ptCount val="125"/>
                <c:pt idx="15">
                  <c:v>40.064440457249937</c:v>
                </c:pt>
                <c:pt idx="16">
                  <c:v>45.299199657519274</c:v>
                </c:pt>
                <c:pt idx="17">
                  <c:v>50.109102066580057</c:v>
                </c:pt>
                <c:pt idx="18">
                  <c:v>50.311426116838568</c:v>
                </c:pt>
                <c:pt idx="19">
                  <c:v>37.553151519758096</c:v>
                </c:pt>
                <c:pt idx="20">
                  <c:v>27.709186793004235</c:v>
                </c:pt>
                <c:pt idx="21">
                  <c:v>13.468813567812751</c:v>
                </c:pt>
                <c:pt idx="22">
                  <c:v>17.917324601054734</c:v>
                </c:pt>
                <c:pt idx="23">
                  <c:v>32.017448497991261</c:v>
                </c:pt>
                <c:pt idx="24">
                  <c:v>45.998804326976085</c:v>
                </c:pt>
                <c:pt idx="25">
                  <c:v>46.27037273059873</c:v>
                </c:pt>
                <c:pt idx="26">
                  <c:v>32.4074970867103</c:v>
                </c:pt>
                <c:pt idx="27">
                  <c:v>28.575603502021607</c:v>
                </c:pt>
                <c:pt idx="28">
                  <c:v>39.647789638743291</c:v>
                </c:pt>
                <c:pt idx="29">
                  <c:v>40.799710512032043</c:v>
                </c:pt>
                <c:pt idx="30">
                  <c:v>41.233942464266541</c:v>
                </c:pt>
                <c:pt idx="31">
                  <c:v>41.191428462695249</c:v>
                </c:pt>
                <c:pt idx="32">
                  <c:v>58.664401617478141</c:v>
                </c:pt>
                <c:pt idx="33">
                  <c:v>78.243686861677816</c:v>
                </c:pt>
                <c:pt idx="34">
                  <c:v>88.363538413991634</c:v>
                </c:pt>
                <c:pt idx="35">
                  <c:v>92.77245411726507</c:v>
                </c:pt>
                <c:pt idx="36">
                  <c:v>88.603757241080757</c:v>
                </c:pt>
                <c:pt idx="37">
                  <c:v>84.391749228520524</c:v>
                </c:pt>
                <c:pt idx="38">
                  <c:v>76.855611499106928</c:v>
                </c:pt>
                <c:pt idx="39">
                  <c:v>75.079854907693388</c:v>
                </c:pt>
                <c:pt idx="40">
                  <c:v>83.30897081912201</c:v>
                </c:pt>
                <c:pt idx="41">
                  <c:v>91.998754188474095</c:v>
                </c:pt>
                <c:pt idx="42">
                  <c:v>97.469114904563369</c:v>
                </c:pt>
                <c:pt idx="43">
                  <c:v>94.711001098521095</c:v>
                </c:pt>
                <c:pt idx="44">
                  <c:v>89.879377990651918</c:v>
                </c:pt>
                <c:pt idx="45">
                  <c:v>81.072935872890682</c:v>
                </c:pt>
                <c:pt idx="46">
                  <c:v>74.481589070891161</c:v>
                </c:pt>
                <c:pt idx="47">
                  <c:v>73.247543523462369</c:v>
                </c:pt>
                <c:pt idx="48">
                  <c:v>81.802331916748415</c:v>
                </c:pt>
                <c:pt idx="49">
                  <c:v>91.023032739046485</c:v>
                </c:pt>
                <c:pt idx="50">
                  <c:v>96.771189735740549</c:v>
                </c:pt>
                <c:pt idx="51">
                  <c:v>98.482632671737903</c:v>
                </c:pt>
                <c:pt idx="52">
                  <c:v>96.075314861077615</c:v>
                </c:pt>
                <c:pt idx="53">
                  <c:v>87.01198141967086</c:v>
                </c:pt>
                <c:pt idx="54">
                  <c:v>77.78576223824723</c:v>
                </c:pt>
                <c:pt idx="55">
                  <c:v>69.38049359918746</c:v>
                </c:pt>
                <c:pt idx="56">
                  <c:v>76.309311603429549</c:v>
                </c:pt>
                <c:pt idx="57">
                  <c:v>85.035226211697093</c:v>
                </c:pt>
                <c:pt idx="58">
                  <c:v>91.698738382092813</c:v>
                </c:pt>
                <c:pt idx="59">
                  <c:v>87.270554041517926</c:v>
                </c:pt>
                <c:pt idx="60">
                  <c:v>84.567633924923584</c:v>
                </c:pt>
                <c:pt idx="61">
                  <c:v>70.92913545858292</c:v>
                </c:pt>
                <c:pt idx="62">
                  <c:v>49.211050630132057</c:v>
                </c:pt>
                <c:pt idx="63">
                  <c:v>24.018689652647385</c:v>
                </c:pt>
                <c:pt idx="64">
                  <c:v>14.336111403982422</c:v>
                </c:pt>
                <c:pt idx="65">
                  <c:v>15.333162264392518</c:v>
                </c:pt>
                <c:pt idx="66">
                  <c:v>19.02931283037017</c:v>
                </c:pt>
                <c:pt idx="67">
                  <c:v>15.907252716686749</c:v>
                </c:pt>
                <c:pt idx="68">
                  <c:v>12.921740976580367</c:v>
                </c:pt>
                <c:pt idx="69">
                  <c:v>5.2155619412833163</c:v>
                </c:pt>
                <c:pt idx="70">
                  <c:v>10.797525570135134</c:v>
                </c:pt>
                <c:pt idx="71">
                  <c:v>15.264418198790423</c:v>
                </c:pt>
                <c:pt idx="72">
                  <c:v>25.122941044784653</c:v>
                </c:pt>
                <c:pt idx="73">
                  <c:v>28.523384514564103</c:v>
                </c:pt>
                <c:pt idx="74">
                  <c:v>33.64491001048426</c:v>
                </c:pt>
                <c:pt idx="75">
                  <c:v>31.21930955822711</c:v>
                </c:pt>
                <c:pt idx="76">
                  <c:v>25.485983618133485</c:v>
                </c:pt>
                <c:pt idx="77">
                  <c:v>23.113489567705102</c:v>
                </c:pt>
                <c:pt idx="78">
                  <c:v>28.039955705815562</c:v>
                </c:pt>
                <c:pt idx="79">
                  <c:v>22.185247475115982</c:v>
                </c:pt>
                <c:pt idx="80">
                  <c:v>17.435580257791912</c:v>
                </c:pt>
                <c:pt idx="81">
                  <c:v>14.549297841428569</c:v>
                </c:pt>
                <c:pt idx="82">
                  <c:v>22.972021214032008</c:v>
                </c:pt>
                <c:pt idx="83">
                  <c:v>29.577048210588515</c:v>
                </c:pt>
                <c:pt idx="84">
                  <c:v>26.583850931676988</c:v>
                </c:pt>
                <c:pt idx="85">
                  <c:v>32.375036971310202</c:v>
                </c:pt>
                <c:pt idx="86">
                  <c:v>42.064477965099059</c:v>
                </c:pt>
                <c:pt idx="87">
                  <c:v>49.914226560189242</c:v>
                </c:pt>
                <c:pt idx="88">
                  <c:v>62.229378547282003</c:v>
                </c:pt>
                <c:pt idx="89">
                  <c:v>69.486950920542967</c:v>
                </c:pt>
                <c:pt idx="90">
                  <c:v>80.111493995207482</c:v>
                </c:pt>
                <c:pt idx="91">
                  <c:v>86.90903056179711</c:v>
                </c:pt>
                <c:pt idx="92">
                  <c:v>91.571722636012169</c:v>
                </c:pt>
                <c:pt idx="93">
                  <c:v>95.218795888399484</c:v>
                </c:pt>
                <c:pt idx="94">
                  <c:v>92.81095696864088</c:v>
                </c:pt>
                <c:pt idx="95">
                  <c:v>91.253416954177808</c:v>
                </c:pt>
                <c:pt idx="96">
                  <c:v>91.867839840837973</c:v>
                </c:pt>
                <c:pt idx="97">
                  <c:v>93.745159969062641</c:v>
                </c:pt>
                <c:pt idx="98">
                  <c:v>93.755682939424233</c:v>
                </c:pt>
                <c:pt idx="99">
                  <c:v>89.259880684984566</c:v>
                </c:pt>
                <c:pt idx="100">
                  <c:v>87.899935200733083</c:v>
                </c:pt>
                <c:pt idx="101">
                  <c:v>89.102444743517083</c:v>
                </c:pt>
                <c:pt idx="102">
                  <c:v>89.366029983769707</c:v>
                </c:pt>
                <c:pt idx="103">
                  <c:v>80.593928579688466</c:v>
                </c:pt>
                <c:pt idx="104">
                  <c:v>69.308254221749337</c:v>
                </c:pt>
                <c:pt idx="105">
                  <c:v>66.205566188265351</c:v>
                </c:pt>
                <c:pt idx="106">
                  <c:v>53.653846153846274</c:v>
                </c:pt>
                <c:pt idx="107">
                  <c:v>48.94688644688646</c:v>
                </c:pt>
                <c:pt idx="108">
                  <c:v>46.23439356305397</c:v>
                </c:pt>
                <c:pt idx="109">
                  <c:v>42.494376331387478</c:v>
                </c:pt>
                <c:pt idx="110">
                  <c:v>28.215404795823545</c:v>
                </c:pt>
                <c:pt idx="111">
                  <c:v>15.646606643648033</c:v>
                </c:pt>
                <c:pt idx="112">
                  <c:v>19.047450470103467</c:v>
                </c:pt>
                <c:pt idx="113">
                  <c:v>31.273584905660453</c:v>
                </c:pt>
                <c:pt idx="114">
                  <c:v>28.089622641509539</c:v>
                </c:pt>
                <c:pt idx="115">
                  <c:v>19.455710977144207</c:v>
                </c:pt>
                <c:pt idx="116">
                  <c:v>5.4462770148800628</c:v>
                </c:pt>
                <c:pt idx="117">
                  <c:v>8.1351173093265352</c:v>
                </c:pt>
                <c:pt idx="118">
                  <c:v>8.3532680861932018</c:v>
                </c:pt>
                <c:pt idx="119">
                  <c:v>14.374050482281183</c:v>
                </c:pt>
                <c:pt idx="120">
                  <c:v>12.682369235058351</c:v>
                </c:pt>
                <c:pt idx="121">
                  <c:v>11.322932302285738</c:v>
                </c:pt>
                <c:pt idx="122">
                  <c:v>6.1952386592087185</c:v>
                </c:pt>
                <c:pt idx="123">
                  <c:v>8.045611479521563</c:v>
                </c:pt>
                <c:pt idx="124">
                  <c:v>18.432863685102586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0514560"/>
        <c:axId val="370512640"/>
      </c:lineChart>
      <c:dateAx>
        <c:axId val="370508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70510464"/>
        <c:crosses val="autoZero"/>
        <c:auto val="1"/>
        <c:lblOffset val="100"/>
        <c:baseTimeUnit val="days"/>
      </c:dateAx>
      <c:valAx>
        <c:axId val="370510464"/>
        <c:scaling>
          <c:orientation val="minMax"/>
          <c:max val="1208.1500000000001"/>
          <c:min val="108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Close Price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0508928"/>
        <c:crosses val="autoZero"/>
        <c:crossBetween val="between"/>
      </c:valAx>
      <c:valAx>
        <c:axId val="370512640"/>
        <c:scaling>
          <c:orientation val="minMax"/>
          <c:max val="100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%K %D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70514560"/>
        <c:crosses val="max"/>
        <c:crossBetween val="between"/>
      </c:valAx>
      <c:dateAx>
        <c:axId val="3705145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70512640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Plot Williams %R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20320</xdr:colOff>
      <xdr:row>8</xdr:row>
      <xdr:rowOff>167640</xdr:rowOff>
    </xdr:from>
    <xdr:to>
      <xdr:col>8</xdr:col>
      <xdr:colOff>563880</xdr:colOff>
      <xdr:row>30</xdr:row>
      <xdr:rowOff>175260</xdr:rowOff>
    </xdr:to>
    <xdr:graphicFrame macro="">
      <xdr:nvGraphicFramePr>
        <xdr:cNvPr id="2164" name="Stochastic Oscillator Chart for ^RU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575310</xdr:colOff>
      <xdr:row>9</xdr:row>
      <xdr:rowOff>64770</xdr:rowOff>
    </xdr:from>
    <xdr:to>
      <xdr:col>7</xdr:col>
      <xdr:colOff>880110</xdr:colOff>
      <xdr:row>14</xdr:row>
      <xdr:rowOff>41910</xdr:rowOff>
    </xdr:to>
    <xdr:sp macro="" textlink="">
      <xdr:nvSpPr>
        <xdr:cNvPr id="2" name="Left Arrow 1"/>
        <xdr:cNvSpPr/>
      </xdr:nvSpPr>
      <xdr:spPr>
        <a:xfrm rot="15400966">
          <a:off x="9296400" y="2004060"/>
          <a:ext cx="891540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60960</xdr:colOff>
      <xdr:row>7</xdr:row>
      <xdr:rowOff>137160</xdr:rowOff>
    </xdr:from>
    <xdr:to>
      <xdr:col>7</xdr:col>
      <xdr:colOff>1097280</xdr:colOff>
      <xdr:row>9</xdr:row>
      <xdr:rowOff>7620</xdr:rowOff>
    </xdr:to>
    <xdr:sp macro="" textlink="">
      <xdr:nvSpPr>
        <xdr:cNvPr id="3" name="TextBox 2"/>
        <xdr:cNvSpPr txBox="1"/>
      </xdr:nvSpPr>
      <xdr:spPr>
        <a:xfrm>
          <a:off x="6499860" y="1417320"/>
          <a:ext cx="1036320" cy="236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Max(C2:C15)</a:t>
          </a:r>
          <a:endParaRPr lang="en-US" sz="1100"/>
        </a:p>
      </xdr:txBody>
    </xdr:sp>
    <xdr:clientData/>
  </xdr:twoCellAnchor>
  <xdr:twoCellAnchor>
    <xdr:from>
      <xdr:col>8</xdr:col>
      <xdr:colOff>472441</xdr:colOff>
      <xdr:row>9</xdr:row>
      <xdr:rowOff>15241</xdr:rowOff>
    </xdr:from>
    <xdr:to>
      <xdr:col>8</xdr:col>
      <xdr:colOff>777241</xdr:colOff>
      <xdr:row>13</xdr:row>
      <xdr:rowOff>175261</xdr:rowOff>
    </xdr:to>
    <xdr:sp macro="" textlink="">
      <xdr:nvSpPr>
        <xdr:cNvPr id="4" name="Left Arrow 3"/>
        <xdr:cNvSpPr/>
      </xdr:nvSpPr>
      <xdr:spPr>
        <a:xfrm rot="15400966">
          <a:off x="7905751" y="1954531"/>
          <a:ext cx="891540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38100</xdr:colOff>
      <xdr:row>7</xdr:row>
      <xdr:rowOff>121920</xdr:rowOff>
    </xdr:from>
    <xdr:to>
      <xdr:col>8</xdr:col>
      <xdr:colOff>1074420</xdr:colOff>
      <xdr:row>8</xdr:row>
      <xdr:rowOff>175260</xdr:rowOff>
    </xdr:to>
    <xdr:sp macro="" textlink="">
      <xdr:nvSpPr>
        <xdr:cNvPr id="5" name="TextBox 4"/>
        <xdr:cNvSpPr txBox="1"/>
      </xdr:nvSpPr>
      <xdr:spPr>
        <a:xfrm>
          <a:off x="7764780" y="1402080"/>
          <a:ext cx="1036320" cy="2362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Min(D2:D15)</a:t>
          </a:r>
          <a:endParaRPr lang="en-US" sz="1100"/>
        </a:p>
      </xdr:txBody>
    </xdr:sp>
    <xdr:clientData/>
  </xdr:twoCellAnchor>
  <xdr:twoCellAnchor>
    <xdr:from>
      <xdr:col>9</xdr:col>
      <xdr:colOff>370268</xdr:colOff>
      <xdr:row>9</xdr:row>
      <xdr:rowOff>34303</xdr:rowOff>
    </xdr:from>
    <xdr:to>
      <xdr:col>9</xdr:col>
      <xdr:colOff>675068</xdr:colOff>
      <xdr:row>14</xdr:row>
      <xdr:rowOff>38463</xdr:rowOff>
    </xdr:to>
    <xdr:sp macro="" textlink="">
      <xdr:nvSpPr>
        <xdr:cNvPr id="6" name="Left Arrow 5"/>
        <xdr:cNvSpPr/>
      </xdr:nvSpPr>
      <xdr:spPr>
        <a:xfrm rot="15400966">
          <a:off x="9077848" y="1987103"/>
          <a:ext cx="918560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7620</xdr:colOff>
      <xdr:row>7</xdr:row>
      <xdr:rowOff>91440</xdr:rowOff>
    </xdr:from>
    <xdr:to>
      <xdr:col>10</xdr:col>
      <xdr:colOff>632460</xdr:colOff>
      <xdr:row>9</xdr:row>
      <xdr:rowOff>15240</xdr:rowOff>
    </xdr:to>
    <xdr:sp macro="" textlink="">
      <xdr:nvSpPr>
        <xdr:cNvPr id="8" name="TextBox 7"/>
        <xdr:cNvSpPr txBox="1"/>
      </xdr:nvSpPr>
      <xdr:spPr>
        <a:xfrm>
          <a:off x="9022080" y="1371600"/>
          <a:ext cx="1912620" cy="289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(E15 - I15) / (H15 - I15) * 100</a:t>
          </a:r>
          <a:endParaRPr lang="en-US" sz="1100"/>
        </a:p>
      </xdr:txBody>
    </xdr:sp>
    <xdr:clientData/>
  </xdr:twoCellAnchor>
  <xdr:twoCellAnchor>
    <xdr:from>
      <xdr:col>10</xdr:col>
      <xdr:colOff>502920</xdr:colOff>
      <xdr:row>11</xdr:row>
      <xdr:rowOff>15241</xdr:rowOff>
    </xdr:from>
    <xdr:to>
      <xdr:col>10</xdr:col>
      <xdr:colOff>807720</xdr:colOff>
      <xdr:row>16</xdr:row>
      <xdr:rowOff>19401</xdr:rowOff>
    </xdr:to>
    <xdr:sp macro="" textlink="">
      <xdr:nvSpPr>
        <xdr:cNvPr id="9" name="Left Arrow 8"/>
        <xdr:cNvSpPr/>
      </xdr:nvSpPr>
      <xdr:spPr>
        <a:xfrm rot="15400966">
          <a:off x="10498280" y="2333801"/>
          <a:ext cx="918560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</xdr:colOff>
      <xdr:row>9</xdr:row>
      <xdr:rowOff>60960</xdr:rowOff>
    </xdr:from>
    <xdr:to>
      <xdr:col>10</xdr:col>
      <xdr:colOff>1272540</xdr:colOff>
      <xdr:row>10</xdr:row>
      <xdr:rowOff>167640</xdr:rowOff>
    </xdr:to>
    <xdr:sp macro="" textlink="">
      <xdr:nvSpPr>
        <xdr:cNvPr id="11" name="TextBox 10"/>
        <xdr:cNvSpPr txBox="1"/>
      </xdr:nvSpPr>
      <xdr:spPr>
        <a:xfrm>
          <a:off x="10088880" y="1706880"/>
          <a:ext cx="1242060" cy="289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AVERAGE(J15:J17)</a:t>
          </a:r>
          <a:endParaRPr lang="en-US" sz="1100"/>
        </a:p>
      </xdr:txBody>
    </xdr:sp>
    <xdr:clientData/>
  </xdr:twoCellAnchor>
  <xdr:twoCellAnchor>
    <xdr:from>
      <xdr:col>11</xdr:col>
      <xdr:colOff>373380</xdr:colOff>
      <xdr:row>12</xdr:row>
      <xdr:rowOff>175260</xdr:rowOff>
    </xdr:from>
    <xdr:to>
      <xdr:col>11</xdr:col>
      <xdr:colOff>678180</xdr:colOff>
      <xdr:row>17</xdr:row>
      <xdr:rowOff>179420</xdr:rowOff>
    </xdr:to>
    <xdr:sp macro="" textlink="">
      <xdr:nvSpPr>
        <xdr:cNvPr id="12" name="Left Arrow 11"/>
        <xdr:cNvSpPr/>
      </xdr:nvSpPr>
      <xdr:spPr>
        <a:xfrm rot="15400966">
          <a:off x="11412680" y="2676700"/>
          <a:ext cx="918560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982980</xdr:colOff>
      <xdr:row>11</xdr:row>
      <xdr:rowOff>22860</xdr:rowOff>
    </xdr:from>
    <xdr:to>
      <xdr:col>12</xdr:col>
      <xdr:colOff>129540</xdr:colOff>
      <xdr:row>12</xdr:row>
      <xdr:rowOff>129540</xdr:rowOff>
    </xdr:to>
    <xdr:sp macro="" textlink="">
      <xdr:nvSpPr>
        <xdr:cNvPr id="13" name="TextBox 12"/>
        <xdr:cNvSpPr txBox="1"/>
      </xdr:nvSpPr>
      <xdr:spPr>
        <a:xfrm>
          <a:off x="11041380" y="2034540"/>
          <a:ext cx="1409700" cy="289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AVERAGE(K17:K19)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13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3" connectionId="9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29" connectionId="3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2" connectionId="1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6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30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1" connectionId="17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81" connectionId="16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56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" connectionId="11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66" connectionId="7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08" connectionId="1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82" connectionId="16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" connectionId="1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25" connectionId="3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60" connectionId="13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38" connectionId="1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74" connectionId="15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51" connectionId="12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59" connectionId="13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88" connectionId="16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37" connectionId="1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112" connectionId="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27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01" connectionId="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83" connectionId="1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55" connectionId="13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0" connectionId="17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42" connectionId="4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150" connectionId="5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118" connectionId="2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46" connectionId="12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117" connectionId="2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14" connectionId="3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51" connectionId="5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46" connectionId="5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64" connectionId="14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131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138" connectionId="4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42" connectionId="11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6" connectionId="1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25" connectionId="9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85" connectionId="16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69" connectionId="14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86" connectionId="1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154" connectionId="6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105" connectionId="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35" connectionId="4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77" connectionId="15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43" connectionId="11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120" connectionId="2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168" connectionId="7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64" connectionId="7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127" connectionId="3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26" connectionId="3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80" connectionId="1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2" connectionId="12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141" connectionId="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0" connectionId="10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144" connectionId="5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63" connectionId="7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48" connectionId="12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19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68" connectionId="14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14" connectionId="1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29" connectionId="10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161" connectionId="7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97" connectionId="17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70" connectionId="7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58" connectionId="6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65" connectionId="7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22" connectionId="9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31" connectionId="10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24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89" connectionId="16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41" connectionId="11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39" connectionId="11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36" connectionId="11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04" connectionId="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80" connectionId="9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77" connectionId="8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11" connectionId="1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4" connectionId="10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56" connectionId="1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5" connectionId="4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57" connectionId="6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76" connectionId="86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76" connectionId="15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32" connectionId="3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58" connectionId="13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52" connectionId="6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73" connectionId="15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12" connectionId="1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7" connectionId="12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16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71" connectionId="14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28" connectionId="3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36" connectionId="4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21" connectionId="9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153" connectionId="6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ExternalData_140" connectionId="4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67" connectionId="14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7" connectionId="6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39" connectionId="4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24" connectionId="9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54" connectionId="13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23" connectionId="2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69" connectionId="78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33" connectionId="39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45" connectionId="12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95" connectionId="17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48" connectionId="5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45" connectionId="52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79" connectionId="157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155" connectionId="6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44" connectionId="119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13" connectionId="25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ExternalData_18" connectionId="8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28" connectionId="10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11" connectionId="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143" connectionId="50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61" connectionId="13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66" connectionId="14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9" connectionId="9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67" connectionId="7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99" connectionId="179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65" connectionId="14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62" connectionId="13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21" connectionId="2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90" connectionId="16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49" connectionId="5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37" connectionId="4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78" connectionId="15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53" connectionId="12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40" connectionId="114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ExternalData_63" connectionId="14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50" connectionId="12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115" connectionId="1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75" connectionId="15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09" connectionId="1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20" connectionId="9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10" connectionId="1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00" connectionId="18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49" connectionId="124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96" connectionId="176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ExternalData_98" connectionId="178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ExternalData_84" connectionId="163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ExternalData_9" connectionId="15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87" connectionId="16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7" connectionId="137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122" connectionId="27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34" connectionId="4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ExternalData_4" connectionId="10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72" connectionId="15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162" connectionId="7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32" connectionId="106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ExternalData_103" connectionId="6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06" connectionId="9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ExternalData_35" connectionId="109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ExternalData_116" connectionId="2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ExternalData_173" connectionId="8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70" connectionId="147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ExternalData_171" connectionId="8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ExternalData_160" connectionId="68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ExternalData_93" connectionId="173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57" connectionId="13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94" connectionId="174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ExternalData_33" connectionId="107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159" connectionId="6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47" connectionId="5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ExternalData_107" connectionId="1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ExternalData_102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://investmenttoolkit.wordpress.com/" TargetMode="External"/><Relationship Id="rId1" Type="http://schemas.openxmlformats.org/officeDocument/2006/relationships/hyperlink" Target="http://investsolver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investmenttoolkit.wordpress.com/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4.xml"/><Relationship Id="rId117" Type="http://schemas.openxmlformats.org/officeDocument/2006/relationships/queryTable" Target="../queryTables/queryTable115.xml"/><Relationship Id="rId21" Type="http://schemas.openxmlformats.org/officeDocument/2006/relationships/queryTable" Target="../queryTables/queryTable19.xml"/><Relationship Id="rId42" Type="http://schemas.openxmlformats.org/officeDocument/2006/relationships/queryTable" Target="../queryTables/queryTable40.xml"/><Relationship Id="rId47" Type="http://schemas.openxmlformats.org/officeDocument/2006/relationships/queryTable" Target="../queryTables/queryTable45.xml"/><Relationship Id="rId63" Type="http://schemas.openxmlformats.org/officeDocument/2006/relationships/queryTable" Target="../queryTables/queryTable61.xml"/><Relationship Id="rId68" Type="http://schemas.openxmlformats.org/officeDocument/2006/relationships/queryTable" Target="../queryTables/queryTable66.xml"/><Relationship Id="rId84" Type="http://schemas.openxmlformats.org/officeDocument/2006/relationships/queryTable" Target="../queryTables/queryTable82.xml"/><Relationship Id="rId89" Type="http://schemas.openxmlformats.org/officeDocument/2006/relationships/queryTable" Target="../queryTables/queryTable87.xml"/><Relationship Id="rId112" Type="http://schemas.openxmlformats.org/officeDocument/2006/relationships/queryTable" Target="../queryTables/queryTable110.xml"/><Relationship Id="rId133" Type="http://schemas.openxmlformats.org/officeDocument/2006/relationships/queryTable" Target="../queryTables/queryTable131.xml"/><Relationship Id="rId138" Type="http://schemas.openxmlformats.org/officeDocument/2006/relationships/queryTable" Target="../queryTables/queryTable136.xml"/><Relationship Id="rId154" Type="http://schemas.openxmlformats.org/officeDocument/2006/relationships/queryTable" Target="../queryTables/queryTable152.xml"/><Relationship Id="rId159" Type="http://schemas.openxmlformats.org/officeDocument/2006/relationships/queryTable" Target="../queryTables/queryTable157.xml"/><Relationship Id="rId175" Type="http://schemas.openxmlformats.org/officeDocument/2006/relationships/queryTable" Target="../queryTables/queryTable173.xml"/><Relationship Id="rId170" Type="http://schemas.openxmlformats.org/officeDocument/2006/relationships/queryTable" Target="../queryTables/queryTable168.xml"/><Relationship Id="rId16" Type="http://schemas.openxmlformats.org/officeDocument/2006/relationships/queryTable" Target="../queryTables/queryTable14.xml"/><Relationship Id="rId107" Type="http://schemas.openxmlformats.org/officeDocument/2006/relationships/queryTable" Target="../queryTables/queryTable105.xml"/><Relationship Id="rId11" Type="http://schemas.openxmlformats.org/officeDocument/2006/relationships/queryTable" Target="../queryTables/queryTable9.xml"/><Relationship Id="rId32" Type="http://schemas.openxmlformats.org/officeDocument/2006/relationships/queryTable" Target="../queryTables/queryTable30.xml"/><Relationship Id="rId37" Type="http://schemas.openxmlformats.org/officeDocument/2006/relationships/queryTable" Target="../queryTables/queryTable35.xml"/><Relationship Id="rId53" Type="http://schemas.openxmlformats.org/officeDocument/2006/relationships/queryTable" Target="../queryTables/queryTable51.xml"/><Relationship Id="rId58" Type="http://schemas.openxmlformats.org/officeDocument/2006/relationships/queryTable" Target="../queryTables/queryTable56.xml"/><Relationship Id="rId74" Type="http://schemas.openxmlformats.org/officeDocument/2006/relationships/queryTable" Target="../queryTables/queryTable72.xml"/><Relationship Id="rId79" Type="http://schemas.openxmlformats.org/officeDocument/2006/relationships/queryTable" Target="../queryTables/queryTable77.xml"/><Relationship Id="rId102" Type="http://schemas.openxmlformats.org/officeDocument/2006/relationships/queryTable" Target="../queryTables/queryTable100.xml"/><Relationship Id="rId123" Type="http://schemas.openxmlformats.org/officeDocument/2006/relationships/queryTable" Target="../queryTables/queryTable121.xml"/><Relationship Id="rId128" Type="http://schemas.openxmlformats.org/officeDocument/2006/relationships/queryTable" Target="../queryTables/queryTable126.xml"/><Relationship Id="rId144" Type="http://schemas.openxmlformats.org/officeDocument/2006/relationships/queryTable" Target="../queryTables/queryTable142.xml"/><Relationship Id="rId149" Type="http://schemas.openxmlformats.org/officeDocument/2006/relationships/queryTable" Target="../queryTables/queryTable147.xml"/><Relationship Id="rId5" Type="http://schemas.openxmlformats.org/officeDocument/2006/relationships/queryTable" Target="../queryTables/queryTable3.xml"/><Relationship Id="rId90" Type="http://schemas.openxmlformats.org/officeDocument/2006/relationships/queryTable" Target="../queryTables/queryTable88.xml"/><Relationship Id="rId95" Type="http://schemas.openxmlformats.org/officeDocument/2006/relationships/queryTable" Target="../queryTables/queryTable93.xml"/><Relationship Id="rId160" Type="http://schemas.openxmlformats.org/officeDocument/2006/relationships/queryTable" Target="../queryTables/queryTable158.xml"/><Relationship Id="rId165" Type="http://schemas.openxmlformats.org/officeDocument/2006/relationships/queryTable" Target="../queryTables/queryTable163.xml"/><Relationship Id="rId22" Type="http://schemas.openxmlformats.org/officeDocument/2006/relationships/queryTable" Target="../queryTables/queryTable20.xml"/><Relationship Id="rId27" Type="http://schemas.openxmlformats.org/officeDocument/2006/relationships/queryTable" Target="../queryTables/queryTable25.xml"/><Relationship Id="rId43" Type="http://schemas.openxmlformats.org/officeDocument/2006/relationships/queryTable" Target="../queryTables/queryTable41.xml"/><Relationship Id="rId48" Type="http://schemas.openxmlformats.org/officeDocument/2006/relationships/queryTable" Target="../queryTables/queryTable46.xml"/><Relationship Id="rId64" Type="http://schemas.openxmlformats.org/officeDocument/2006/relationships/queryTable" Target="../queryTables/queryTable62.xml"/><Relationship Id="rId69" Type="http://schemas.openxmlformats.org/officeDocument/2006/relationships/queryTable" Target="../queryTables/queryTable67.xml"/><Relationship Id="rId113" Type="http://schemas.openxmlformats.org/officeDocument/2006/relationships/queryTable" Target="../queryTables/queryTable111.xml"/><Relationship Id="rId118" Type="http://schemas.openxmlformats.org/officeDocument/2006/relationships/queryTable" Target="../queryTables/queryTable116.xml"/><Relationship Id="rId134" Type="http://schemas.openxmlformats.org/officeDocument/2006/relationships/queryTable" Target="../queryTables/queryTable132.xml"/><Relationship Id="rId139" Type="http://schemas.openxmlformats.org/officeDocument/2006/relationships/queryTable" Target="../queryTables/queryTable137.xml"/><Relationship Id="rId80" Type="http://schemas.openxmlformats.org/officeDocument/2006/relationships/queryTable" Target="../queryTables/queryTable78.xml"/><Relationship Id="rId85" Type="http://schemas.openxmlformats.org/officeDocument/2006/relationships/queryTable" Target="../queryTables/queryTable83.xml"/><Relationship Id="rId150" Type="http://schemas.openxmlformats.org/officeDocument/2006/relationships/queryTable" Target="../queryTables/queryTable148.xml"/><Relationship Id="rId155" Type="http://schemas.openxmlformats.org/officeDocument/2006/relationships/queryTable" Target="../queryTables/queryTable153.xml"/><Relationship Id="rId171" Type="http://schemas.openxmlformats.org/officeDocument/2006/relationships/queryTable" Target="../queryTables/queryTable169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33" Type="http://schemas.openxmlformats.org/officeDocument/2006/relationships/queryTable" Target="../queryTables/queryTable31.xml"/><Relationship Id="rId38" Type="http://schemas.openxmlformats.org/officeDocument/2006/relationships/queryTable" Target="../queryTables/queryTable36.xml"/><Relationship Id="rId59" Type="http://schemas.openxmlformats.org/officeDocument/2006/relationships/queryTable" Target="../queryTables/queryTable57.xml"/><Relationship Id="rId103" Type="http://schemas.openxmlformats.org/officeDocument/2006/relationships/queryTable" Target="../queryTables/queryTable101.xml"/><Relationship Id="rId108" Type="http://schemas.openxmlformats.org/officeDocument/2006/relationships/queryTable" Target="../queryTables/queryTable106.xml"/><Relationship Id="rId124" Type="http://schemas.openxmlformats.org/officeDocument/2006/relationships/queryTable" Target="../queryTables/queryTable122.xml"/><Relationship Id="rId129" Type="http://schemas.openxmlformats.org/officeDocument/2006/relationships/queryTable" Target="../queryTables/queryTable127.xml"/><Relationship Id="rId54" Type="http://schemas.openxmlformats.org/officeDocument/2006/relationships/queryTable" Target="../queryTables/queryTable52.xml"/><Relationship Id="rId70" Type="http://schemas.openxmlformats.org/officeDocument/2006/relationships/queryTable" Target="../queryTables/queryTable68.xml"/><Relationship Id="rId75" Type="http://schemas.openxmlformats.org/officeDocument/2006/relationships/queryTable" Target="../queryTables/queryTable73.xml"/><Relationship Id="rId91" Type="http://schemas.openxmlformats.org/officeDocument/2006/relationships/queryTable" Target="../queryTables/queryTable89.xml"/><Relationship Id="rId96" Type="http://schemas.openxmlformats.org/officeDocument/2006/relationships/queryTable" Target="../queryTables/queryTable94.xml"/><Relationship Id="rId140" Type="http://schemas.openxmlformats.org/officeDocument/2006/relationships/queryTable" Target="../queryTables/queryTable138.xml"/><Relationship Id="rId145" Type="http://schemas.openxmlformats.org/officeDocument/2006/relationships/queryTable" Target="../queryTables/queryTable143.xml"/><Relationship Id="rId161" Type="http://schemas.openxmlformats.org/officeDocument/2006/relationships/queryTable" Target="../queryTables/queryTable159.xml"/><Relationship Id="rId166" Type="http://schemas.openxmlformats.org/officeDocument/2006/relationships/queryTable" Target="../queryTables/queryTable16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23" Type="http://schemas.openxmlformats.org/officeDocument/2006/relationships/queryTable" Target="../queryTables/queryTable21.xml"/><Relationship Id="rId28" Type="http://schemas.openxmlformats.org/officeDocument/2006/relationships/queryTable" Target="../queryTables/queryTable26.xml"/><Relationship Id="rId49" Type="http://schemas.openxmlformats.org/officeDocument/2006/relationships/queryTable" Target="../queryTables/queryTable47.xml"/><Relationship Id="rId114" Type="http://schemas.openxmlformats.org/officeDocument/2006/relationships/queryTable" Target="../queryTables/queryTable112.xml"/><Relationship Id="rId119" Type="http://schemas.openxmlformats.org/officeDocument/2006/relationships/queryTable" Target="../queryTables/queryTable117.xml"/><Relationship Id="rId10" Type="http://schemas.openxmlformats.org/officeDocument/2006/relationships/queryTable" Target="../queryTables/queryTable8.xml"/><Relationship Id="rId31" Type="http://schemas.openxmlformats.org/officeDocument/2006/relationships/queryTable" Target="../queryTables/queryTable29.xml"/><Relationship Id="rId44" Type="http://schemas.openxmlformats.org/officeDocument/2006/relationships/queryTable" Target="../queryTables/queryTable42.xml"/><Relationship Id="rId52" Type="http://schemas.openxmlformats.org/officeDocument/2006/relationships/queryTable" Target="../queryTables/queryTable50.xml"/><Relationship Id="rId60" Type="http://schemas.openxmlformats.org/officeDocument/2006/relationships/queryTable" Target="../queryTables/queryTable58.xml"/><Relationship Id="rId65" Type="http://schemas.openxmlformats.org/officeDocument/2006/relationships/queryTable" Target="../queryTables/queryTable63.xml"/><Relationship Id="rId73" Type="http://schemas.openxmlformats.org/officeDocument/2006/relationships/queryTable" Target="../queryTables/queryTable71.xml"/><Relationship Id="rId78" Type="http://schemas.openxmlformats.org/officeDocument/2006/relationships/queryTable" Target="../queryTables/queryTable76.xml"/><Relationship Id="rId81" Type="http://schemas.openxmlformats.org/officeDocument/2006/relationships/queryTable" Target="../queryTables/queryTable79.xml"/><Relationship Id="rId86" Type="http://schemas.openxmlformats.org/officeDocument/2006/relationships/queryTable" Target="../queryTables/queryTable84.xml"/><Relationship Id="rId94" Type="http://schemas.openxmlformats.org/officeDocument/2006/relationships/queryTable" Target="../queryTables/queryTable92.xml"/><Relationship Id="rId99" Type="http://schemas.openxmlformats.org/officeDocument/2006/relationships/queryTable" Target="../queryTables/queryTable97.xml"/><Relationship Id="rId101" Type="http://schemas.openxmlformats.org/officeDocument/2006/relationships/queryTable" Target="../queryTables/queryTable99.xml"/><Relationship Id="rId122" Type="http://schemas.openxmlformats.org/officeDocument/2006/relationships/queryTable" Target="../queryTables/queryTable120.xml"/><Relationship Id="rId130" Type="http://schemas.openxmlformats.org/officeDocument/2006/relationships/queryTable" Target="../queryTables/queryTable128.xml"/><Relationship Id="rId135" Type="http://schemas.openxmlformats.org/officeDocument/2006/relationships/queryTable" Target="../queryTables/queryTable133.xml"/><Relationship Id="rId143" Type="http://schemas.openxmlformats.org/officeDocument/2006/relationships/queryTable" Target="../queryTables/queryTable141.xml"/><Relationship Id="rId148" Type="http://schemas.openxmlformats.org/officeDocument/2006/relationships/queryTable" Target="../queryTables/queryTable146.xml"/><Relationship Id="rId151" Type="http://schemas.openxmlformats.org/officeDocument/2006/relationships/queryTable" Target="../queryTables/queryTable149.xml"/><Relationship Id="rId156" Type="http://schemas.openxmlformats.org/officeDocument/2006/relationships/queryTable" Target="../queryTables/queryTable154.xml"/><Relationship Id="rId164" Type="http://schemas.openxmlformats.org/officeDocument/2006/relationships/queryTable" Target="../queryTables/queryTable162.xml"/><Relationship Id="rId169" Type="http://schemas.openxmlformats.org/officeDocument/2006/relationships/queryTable" Target="../queryTables/queryTable167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72" Type="http://schemas.openxmlformats.org/officeDocument/2006/relationships/queryTable" Target="../queryTables/queryTable170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9" Type="http://schemas.openxmlformats.org/officeDocument/2006/relationships/queryTable" Target="../queryTables/queryTable37.xml"/><Relationship Id="rId109" Type="http://schemas.openxmlformats.org/officeDocument/2006/relationships/queryTable" Target="../queryTables/queryTable107.xml"/><Relationship Id="rId34" Type="http://schemas.openxmlformats.org/officeDocument/2006/relationships/queryTable" Target="../queryTables/queryTable32.xml"/><Relationship Id="rId50" Type="http://schemas.openxmlformats.org/officeDocument/2006/relationships/queryTable" Target="../queryTables/queryTable48.xml"/><Relationship Id="rId55" Type="http://schemas.openxmlformats.org/officeDocument/2006/relationships/queryTable" Target="../queryTables/queryTable53.xml"/><Relationship Id="rId76" Type="http://schemas.openxmlformats.org/officeDocument/2006/relationships/queryTable" Target="../queryTables/queryTable74.xml"/><Relationship Id="rId97" Type="http://schemas.openxmlformats.org/officeDocument/2006/relationships/queryTable" Target="../queryTables/queryTable95.xml"/><Relationship Id="rId104" Type="http://schemas.openxmlformats.org/officeDocument/2006/relationships/queryTable" Target="../queryTables/queryTable102.xml"/><Relationship Id="rId120" Type="http://schemas.openxmlformats.org/officeDocument/2006/relationships/queryTable" Target="../queryTables/queryTable118.xml"/><Relationship Id="rId125" Type="http://schemas.openxmlformats.org/officeDocument/2006/relationships/queryTable" Target="../queryTables/queryTable123.xml"/><Relationship Id="rId141" Type="http://schemas.openxmlformats.org/officeDocument/2006/relationships/queryTable" Target="../queryTables/queryTable139.xml"/><Relationship Id="rId146" Type="http://schemas.openxmlformats.org/officeDocument/2006/relationships/queryTable" Target="../queryTables/queryTable144.xml"/><Relationship Id="rId167" Type="http://schemas.openxmlformats.org/officeDocument/2006/relationships/queryTable" Target="../queryTables/queryTable165.xml"/><Relationship Id="rId7" Type="http://schemas.openxmlformats.org/officeDocument/2006/relationships/queryTable" Target="../queryTables/queryTable5.xml"/><Relationship Id="rId71" Type="http://schemas.openxmlformats.org/officeDocument/2006/relationships/queryTable" Target="../queryTables/queryTable69.xml"/><Relationship Id="rId92" Type="http://schemas.openxmlformats.org/officeDocument/2006/relationships/queryTable" Target="../queryTables/queryTable90.xml"/><Relationship Id="rId162" Type="http://schemas.openxmlformats.org/officeDocument/2006/relationships/queryTable" Target="../queryTables/queryTable160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7.xml"/><Relationship Id="rId24" Type="http://schemas.openxmlformats.org/officeDocument/2006/relationships/queryTable" Target="../queryTables/queryTable22.xml"/><Relationship Id="rId40" Type="http://schemas.openxmlformats.org/officeDocument/2006/relationships/queryTable" Target="../queryTables/queryTable38.xml"/><Relationship Id="rId45" Type="http://schemas.openxmlformats.org/officeDocument/2006/relationships/queryTable" Target="../queryTables/queryTable43.xml"/><Relationship Id="rId66" Type="http://schemas.openxmlformats.org/officeDocument/2006/relationships/queryTable" Target="../queryTables/queryTable64.xml"/><Relationship Id="rId87" Type="http://schemas.openxmlformats.org/officeDocument/2006/relationships/queryTable" Target="../queryTables/queryTable85.xml"/><Relationship Id="rId110" Type="http://schemas.openxmlformats.org/officeDocument/2006/relationships/queryTable" Target="../queryTables/queryTable108.xml"/><Relationship Id="rId115" Type="http://schemas.openxmlformats.org/officeDocument/2006/relationships/queryTable" Target="../queryTables/queryTable113.xml"/><Relationship Id="rId131" Type="http://schemas.openxmlformats.org/officeDocument/2006/relationships/queryTable" Target="../queryTables/queryTable129.xml"/><Relationship Id="rId136" Type="http://schemas.openxmlformats.org/officeDocument/2006/relationships/queryTable" Target="../queryTables/queryTable134.xml"/><Relationship Id="rId157" Type="http://schemas.openxmlformats.org/officeDocument/2006/relationships/queryTable" Target="../queryTables/queryTable155.xml"/><Relationship Id="rId61" Type="http://schemas.openxmlformats.org/officeDocument/2006/relationships/queryTable" Target="../queryTables/queryTable59.xml"/><Relationship Id="rId82" Type="http://schemas.openxmlformats.org/officeDocument/2006/relationships/queryTable" Target="../queryTables/queryTable80.xml"/><Relationship Id="rId152" Type="http://schemas.openxmlformats.org/officeDocument/2006/relationships/queryTable" Target="../queryTables/queryTable150.xml"/><Relationship Id="rId173" Type="http://schemas.openxmlformats.org/officeDocument/2006/relationships/queryTable" Target="../queryTables/queryTable171.xml"/><Relationship Id="rId19" Type="http://schemas.openxmlformats.org/officeDocument/2006/relationships/queryTable" Target="../queryTables/queryTable17.xml"/><Relationship Id="rId14" Type="http://schemas.openxmlformats.org/officeDocument/2006/relationships/queryTable" Target="../queryTables/queryTable12.xml"/><Relationship Id="rId30" Type="http://schemas.openxmlformats.org/officeDocument/2006/relationships/queryTable" Target="../queryTables/queryTable28.xml"/><Relationship Id="rId35" Type="http://schemas.openxmlformats.org/officeDocument/2006/relationships/queryTable" Target="../queryTables/queryTable33.xml"/><Relationship Id="rId56" Type="http://schemas.openxmlformats.org/officeDocument/2006/relationships/queryTable" Target="../queryTables/queryTable54.xml"/><Relationship Id="rId77" Type="http://schemas.openxmlformats.org/officeDocument/2006/relationships/queryTable" Target="../queryTables/queryTable75.xml"/><Relationship Id="rId100" Type="http://schemas.openxmlformats.org/officeDocument/2006/relationships/queryTable" Target="../queryTables/queryTable98.xml"/><Relationship Id="rId105" Type="http://schemas.openxmlformats.org/officeDocument/2006/relationships/queryTable" Target="../queryTables/queryTable103.xml"/><Relationship Id="rId126" Type="http://schemas.openxmlformats.org/officeDocument/2006/relationships/queryTable" Target="../queryTables/queryTable124.xml"/><Relationship Id="rId147" Type="http://schemas.openxmlformats.org/officeDocument/2006/relationships/queryTable" Target="../queryTables/queryTable145.xml"/><Relationship Id="rId168" Type="http://schemas.openxmlformats.org/officeDocument/2006/relationships/queryTable" Target="../queryTables/queryTable166.xml"/><Relationship Id="rId8" Type="http://schemas.openxmlformats.org/officeDocument/2006/relationships/queryTable" Target="../queryTables/queryTable6.xml"/><Relationship Id="rId51" Type="http://schemas.openxmlformats.org/officeDocument/2006/relationships/queryTable" Target="../queryTables/queryTable49.xml"/><Relationship Id="rId72" Type="http://schemas.openxmlformats.org/officeDocument/2006/relationships/queryTable" Target="../queryTables/queryTable70.xml"/><Relationship Id="rId93" Type="http://schemas.openxmlformats.org/officeDocument/2006/relationships/queryTable" Target="../queryTables/queryTable91.xml"/><Relationship Id="rId98" Type="http://schemas.openxmlformats.org/officeDocument/2006/relationships/queryTable" Target="../queryTables/queryTable96.xml"/><Relationship Id="rId121" Type="http://schemas.openxmlformats.org/officeDocument/2006/relationships/queryTable" Target="../queryTables/queryTable119.xml"/><Relationship Id="rId142" Type="http://schemas.openxmlformats.org/officeDocument/2006/relationships/queryTable" Target="../queryTables/queryTable140.xml"/><Relationship Id="rId163" Type="http://schemas.openxmlformats.org/officeDocument/2006/relationships/queryTable" Target="../queryTables/queryTable161.xml"/><Relationship Id="rId3" Type="http://schemas.openxmlformats.org/officeDocument/2006/relationships/queryTable" Target="../queryTables/queryTable1.xml"/><Relationship Id="rId25" Type="http://schemas.openxmlformats.org/officeDocument/2006/relationships/queryTable" Target="../queryTables/queryTable23.xml"/><Relationship Id="rId46" Type="http://schemas.openxmlformats.org/officeDocument/2006/relationships/queryTable" Target="../queryTables/queryTable44.xml"/><Relationship Id="rId67" Type="http://schemas.openxmlformats.org/officeDocument/2006/relationships/queryTable" Target="../queryTables/queryTable65.xml"/><Relationship Id="rId116" Type="http://schemas.openxmlformats.org/officeDocument/2006/relationships/queryTable" Target="../queryTables/queryTable114.xml"/><Relationship Id="rId137" Type="http://schemas.openxmlformats.org/officeDocument/2006/relationships/queryTable" Target="../queryTables/queryTable135.xml"/><Relationship Id="rId158" Type="http://schemas.openxmlformats.org/officeDocument/2006/relationships/queryTable" Target="../queryTables/queryTable156.xml"/><Relationship Id="rId20" Type="http://schemas.openxmlformats.org/officeDocument/2006/relationships/queryTable" Target="../queryTables/queryTable18.xml"/><Relationship Id="rId41" Type="http://schemas.openxmlformats.org/officeDocument/2006/relationships/queryTable" Target="../queryTables/queryTable39.xml"/><Relationship Id="rId62" Type="http://schemas.openxmlformats.org/officeDocument/2006/relationships/queryTable" Target="../queryTables/queryTable60.xml"/><Relationship Id="rId83" Type="http://schemas.openxmlformats.org/officeDocument/2006/relationships/queryTable" Target="../queryTables/queryTable81.xml"/><Relationship Id="rId88" Type="http://schemas.openxmlformats.org/officeDocument/2006/relationships/queryTable" Target="../queryTables/queryTable86.xml"/><Relationship Id="rId111" Type="http://schemas.openxmlformats.org/officeDocument/2006/relationships/queryTable" Target="../queryTables/queryTable109.xml"/><Relationship Id="rId132" Type="http://schemas.openxmlformats.org/officeDocument/2006/relationships/queryTable" Target="../queryTables/queryTable130.xml"/><Relationship Id="rId153" Type="http://schemas.openxmlformats.org/officeDocument/2006/relationships/queryTable" Target="../queryTables/queryTable151.xml"/><Relationship Id="rId174" Type="http://schemas.openxmlformats.org/officeDocument/2006/relationships/queryTable" Target="../queryTables/queryTable172.xml"/><Relationship Id="rId15" Type="http://schemas.openxmlformats.org/officeDocument/2006/relationships/queryTable" Target="../queryTables/queryTable13.xml"/><Relationship Id="rId36" Type="http://schemas.openxmlformats.org/officeDocument/2006/relationships/queryTable" Target="../queryTables/queryTable34.xml"/><Relationship Id="rId57" Type="http://schemas.openxmlformats.org/officeDocument/2006/relationships/queryTable" Target="../queryTables/queryTable55.xml"/><Relationship Id="rId106" Type="http://schemas.openxmlformats.org/officeDocument/2006/relationships/queryTable" Target="../queryTables/queryTable104.xml"/><Relationship Id="rId127" Type="http://schemas.openxmlformats.org/officeDocument/2006/relationships/queryTable" Target="../queryTables/queryTable1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5"/>
  <sheetViews>
    <sheetView workbookViewId="0">
      <selection activeCell="C18" sqref="C18"/>
    </sheetView>
  </sheetViews>
  <sheetFormatPr defaultRowHeight="15" x14ac:dyDescent="0.25"/>
  <sheetData>
    <row r="1" spans="1:17" ht="14.45" x14ac:dyDescent="0.3">
      <c r="A1" t="s">
        <v>18</v>
      </c>
    </row>
    <row r="2" spans="1:17" ht="14.45" x14ac:dyDescent="0.3">
      <c r="A2" t="s">
        <v>20</v>
      </c>
    </row>
    <row r="4" spans="1:17" x14ac:dyDescent="0.25">
      <c r="A4" s="11" t="s">
        <v>25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s="7" customFormat="1" x14ac:dyDescent="0.25">
      <c r="A5" s="12" t="s">
        <v>26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s="7" customFormat="1" x14ac:dyDescent="0.25">
      <c r="A6" s="7" t="s">
        <v>27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x14ac:dyDescent="0.25">
      <c r="A7" s="12" t="s">
        <v>30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5">
      <c r="A9" s="7" t="s">
        <v>21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x14ac:dyDescent="0.25">
      <c r="A10" s="7" t="s">
        <v>19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x14ac:dyDescent="0.25">
      <c r="A12" s="7" t="s">
        <v>28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x14ac:dyDescent="0.25">
      <c r="A13" s="13" t="s">
        <v>29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x14ac:dyDescent="0.25">
      <c r="A14" s="9" t="s">
        <v>17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</row>
    <row r="15" spans="1:17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</row>
  </sheetData>
  <hyperlinks>
    <hyperlink ref="A13" r:id="rId1"/>
    <hyperlink ref="A14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7"/>
  <sheetViews>
    <sheetView tabSelected="1" workbookViewId="0">
      <selection activeCell="D1" sqref="D1"/>
    </sheetView>
  </sheetViews>
  <sheetFormatPr defaultRowHeight="15" x14ac:dyDescent="0.25"/>
  <cols>
    <col min="1" max="1" width="4.140625" customWidth="1"/>
    <col min="2" max="2" width="23.28515625" customWidth="1"/>
    <col min="3" max="3" width="17" customWidth="1"/>
  </cols>
  <sheetData>
    <row r="1" spans="2:3" ht="18" customHeight="1" x14ac:dyDescent="0.4">
      <c r="B1" s="8" t="s">
        <v>23</v>
      </c>
    </row>
    <row r="2" spans="2:3" ht="14.45" x14ac:dyDescent="0.3">
      <c r="B2" s="9" t="s">
        <v>17</v>
      </c>
    </row>
    <row r="3" spans="2:3" ht="14.45" x14ac:dyDescent="0.3">
      <c r="B3" s="3" t="s">
        <v>0</v>
      </c>
    </row>
    <row r="4" spans="2:3" ht="14.45" x14ac:dyDescent="0.3">
      <c r="B4" s="2" t="s">
        <v>1</v>
      </c>
      <c r="C4" s="4" t="s">
        <v>22</v>
      </c>
    </row>
    <row r="5" spans="2:3" ht="14.45" x14ac:dyDescent="0.3">
      <c r="B5" s="1" t="s">
        <v>2</v>
      </c>
      <c r="C5" s="5">
        <f ca="1">TODAY()-365</f>
        <v>42109</v>
      </c>
    </row>
    <row r="6" spans="2:3" ht="14.45" x14ac:dyDescent="0.3">
      <c r="B6" s="1" t="s">
        <v>3</v>
      </c>
      <c r="C6" s="5">
        <f ca="1">TODAY()</f>
        <v>42474</v>
      </c>
    </row>
    <row r="7" spans="2:3" ht="14.45" x14ac:dyDescent="0.3">
      <c r="B7" s="1" t="s">
        <v>24</v>
      </c>
      <c r="C7" s="4">
        <v>14</v>
      </c>
    </row>
  </sheetData>
  <hyperlinks>
    <hyperlink ref="B2" r:id="rId1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7"/>
  <sheetViews>
    <sheetView workbookViewId="0">
      <selection activeCell="H25" sqref="H25"/>
    </sheetView>
  </sheetViews>
  <sheetFormatPr defaultRowHeight="15" x14ac:dyDescent="0.25"/>
  <cols>
    <col min="1" max="5" width="18.7109375" customWidth="1"/>
    <col min="6" max="7" width="18.7109375" hidden="1" customWidth="1"/>
    <col min="8" max="8" width="16.7109375" customWidth="1"/>
    <col min="9" max="9" width="16.42578125" customWidth="1"/>
    <col min="10" max="10" width="19.7109375" customWidth="1"/>
    <col min="11" max="11" width="18.7109375" customWidth="1"/>
    <col min="12" max="12" width="14.28515625" customWidth="1"/>
  </cols>
  <sheetData>
    <row r="1" spans="1:12" ht="14.45" x14ac:dyDescent="0.3">
      <c r="A1" s="7" t="s">
        <v>5</v>
      </c>
      <c r="B1" s="7" t="s">
        <v>6</v>
      </c>
      <c r="C1" s="10" t="s">
        <v>7</v>
      </c>
      <c r="D1" s="10" t="s">
        <v>8</v>
      </c>
      <c r="E1" s="10" t="s">
        <v>9</v>
      </c>
      <c r="F1" s="10" t="s">
        <v>10</v>
      </c>
      <c r="G1" s="10" t="s">
        <v>11</v>
      </c>
      <c r="H1" s="10" t="s">
        <v>12</v>
      </c>
      <c r="I1" s="10" t="s">
        <v>13</v>
      </c>
      <c r="J1" s="10" t="s">
        <v>16</v>
      </c>
      <c r="K1" s="10" t="s">
        <v>15</v>
      </c>
      <c r="L1" s="10" t="s">
        <v>14</v>
      </c>
    </row>
    <row r="2" spans="1:12" ht="14.45" x14ac:dyDescent="0.3">
      <c r="A2" s="6">
        <v>41737</v>
      </c>
      <c r="B2">
        <v>1136.8699999999999</v>
      </c>
      <c r="C2" s="1">
        <v>1149</v>
      </c>
      <c r="D2" s="1">
        <v>1131.27</v>
      </c>
      <c r="E2" s="1">
        <v>1144.24</v>
      </c>
      <c r="F2" s="1">
        <v>37214500</v>
      </c>
      <c r="G2" s="1">
        <v>1144.24</v>
      </c>
      <c r="H2" s="1"/>
      <c r="I2" s="1"/>
      <c r="J2" s="1"/>
      <c r="K2" s="1"/>
      <c r="L2" s="1"/>
    </row>
    <row r="3" spans="1:12" ht="14.45" x14ac:dyDescent="0.3">
      <c r="A3" s="6">
        <v>41738</v>
      </c>
      <c r="B3">
        <v>1148.01</v>
      </c>
      <c r="C3" s="1">
        <v>1160.42</v>
      </c>
      <c r="D3" s="1">
        <v>1144.77</v>
      </c>
      <c r="E3" s="1">
        <v>1159.96</v>
      </c>
      <c r="F3" s="1">
        <v>33086500</v>
      </c>
      <c r="G3" s="1">
        <v>1159.96</v>
      </c>
      <c r="H3" s="1"/>
      <c r="I3" s="1"/>
      <c r="J3" s="1"/>
      <c r="K3" s="1"/>
      <c r="L3" s="1"/>
    </row>
    <row r="4" spans="1:12" ht="14.45" x14ac:dyDescent="0.3">
      <c r="A4" s="6">
        <v>41739</v>
      </c>
      <c r="B4">
        <v>1159.27</v>
      </c>
      <c r="C4" s="1">
        <v>1159.8</v>
      </c>
      <c r="D4" s="1">
        <v>1123.68</v>
      </c>
      <c r="E4" s="1">
        <v>1127.6600000000001</v>
      </c>
      <c r="F4" s="1">
        <v>37587800</v>
      </c>
      <c r="G4" s="1">
        <v>1127.6600000000001</v>
      </c>
      <c r="H4" s="1"/>
      <c r="I4" s="1"/>
      <c r="J4" s="1"/>
      <c r="K4" s="1"/>
      <c r="L4" s="1"/>
    </row>
    <row r="5" spans="1:12" ht="14.45" x14ac:dyDescent="0.3">
      <c r="A5" s="6">
        <v>41740</v>
      </c>
      <c r="B5">
        <v>1119.53</v>
      </c>
      <c r="C5" s="1">
        <v>1128.96</v>
      </c>
      <c r="D5" s="1">
        <v>1107.93</v>
      </c>
      <c r="E5" s="1">
        <v>1111.44</v>
      </c>
      <c r="F5" s="1">
        <v>37434600</v>
      </c>
      <c r="G5" s="1">
        <v>1111.44</v>
      </c>
      <c r="H5" s="1"/>
      <c r="I5" s="1"/>
      <c r="J5" s="1"/>
      <c r="K5" s="1"/>
      <c r="L5" s="1"/>
    </row>
    <row r="6" spans="1:12" ht="14.45" x14ac:dyDescent="0.3">
      <c r="A6" s="6">
        <v>41743</v>
      </c>
      <c r="B6">
        <v>1120.81</v>
      </c>
      <c r="C6" s="1">
        <v>1126.31</v>
      </c>
      <c r="D6" s="1">
        <v>1105.56</v>
      </c>
      <c r="E6" s="1">
        <v>1115.3499999999999</v>
      </c>
      <c r="F6" s="1">
        <v>31115400</v>
      </c>
      <c r="G6" s="1">
        <v>1115.3499999999999</v>
      </c>
      <c r="H6" s="1"/>
      <c r="I6" s="1"/>
      <c r="J6" s="1"/>
      <c r="K6" s="1"/>
      <c r="L6" s="1"/>
    </row>
    <row r="7" spans="1:12" ht="14.45" x14ac:dyDescent="0.3">
      <c r="A7" s="6">
        <v>41744</v>
      </c>
      <c r="B7">
        <v>1117.9000000000001</v>
      </c>
      <c r="C7" s="1">
        <v>1123.77</v>
      </c>
      <c r="D7" s="1">
        <v>1095.79</v>
      </c>
      <c r="E7" s="1">
        <v>1119.49</v>
      </c>
      <c r="F7" s="1">
        <v>37364400</v>
      </c>
      <c r="G7" s="1">
        <v>1119.49</v>
      </c>
      <c r="H7" s="1"/>
      <c r="I7" s="1"/>
      <c r="J7" s="1"/>
      <c r="K7" s="1"/>
      <c r="L7" s="1"/>
    </row>
    <row r="8" spans="1:12" ht="14.45" x14ac:dyDescent="0.3">
      <c r="A8" s="6">
        <v>41745</v>
      </c>
      <c r="B8">
        <v>1126.46</v>
      </c>
      <c r="C8" s="1">
        <v>1132.1099999999999</v>
      </c>
      <c r="D8" s="1">
        <v>1121.8599999999999</v>
      </c>
      <c r="E8" s="1">
        <v>1131.77</v>
      </c>
      <c r="F8" s="1">
        <v>31550800</v>
      </c>
      <c r="G8" s="1">
        <v>1131.77</v>
      </c>
      <c r="H8" s="1"/>
      <c r="I8" s="1"/>
      <c r="J8" s="1"/>
      <c r="K8" s="1"/>
      <c r="L8" s="1"/>
    </row>
    <row r="9" spans="1:12" ht="14.45" x14ac:dyDescent="0.3">
      <c r="A9" s="6">
        <v>41746</v>
      </c>
      <c r="B9">
        <v>1130.27</v>
      </c>
      <c r="C9" s="1">
        <v>1141.1099999999999</v>
      </c>
      <c r="D9" s="1">
        <v>1127.05</v>
      </c>
      <c r="E9" s="1">
        <v>1137.9000000000001</v>
      </c>
      <c r="F9" s="1">
        <v>33414300</v>
      </c>
      <c r="G9" s="1">
        <v>1137.9000000000001</v>
      </c>
      <c r="H9" s="1"/>
      <c r="I9" s="1"/>
      <c r="J9" s="1"/>
      <c r="K9" s="1"/>
      <c r="L9" s="1"/>
    </row>
    <row r="10" spans="1:12" ht="14.45" x14ac:dyDescent="0.3">
      <c r="A10" s="6">
        <v>41750</v>
      </c>
      <c r="B10">
        <v>1139.5899999999999</v>
      </c>
      <c r="C10" s="1">
        <v>1142.3900000000001</v>
      </c>
      <c r="D10" s="1">
        <v>1132.22</v>
      </c>
      <c r="E10" s="1">
        <v>1142.31</v>
      </c>
      <c r="F10" s="1">
        <v>26425000</v>
      </c>
      <c r="G10" s="1">
        <v>1142.31</v>
      </c>
      <c r="H10" s="1"/>
      <c r="I10" s="1"/>
      <c r="J10" s="1"/>
      <c r="K10" s="1"/>
      <c r="L10" s="1"/>
    </row>
    <row r="11" spans="1:12" ht="14.45" x14ac:dyDescent="0.3">
      <c r="A11" s="6">
        <v>41751</v>
      </c>
      <c r="B11">
        <v>1143.3599999999999</v>
      </c>
      <c r="C11" s="1">
        <v>1157.8699999999999</v>
      </c>
      <c r="D11" s="1">
        <v>1143.3599999999999</v>
      </c>
      <c r="E11" s="1">
        <v>1155.6099999999999</v>
      </c>
      <c r="F11" s="1">
        <v>32154400</v>
      </c>
      <c r="G11" s="1">
        <v>1155.6099999999999</v>
      </c>
      <c r="H11" s="1"/>
      <c r="I11" s="1"/>
      <c r="J11" s="1"/>
      <c r="K11" s="1"/>
      <c r="L11" s="1"/>
    </row>
    <row r="12" spans="1:12" ht="14.45" x14ac:dyDescent="0.3">
      <c r="A12" s="6">
        <v>41752</v>
      </c>
      <c r="B12">
        <v>1155.05</v>
      </c>
      <c r="C12" s="1">
        <v>1155.42</v>
      </c>
      <c r="D12" s="1">
        <v>1146.8399999999999</v>
      </c>
      <c r="E12" s="1">
        <v>1147.08</v>
      </c>
      <c r="F12" s="1">
        <v>30857200</v>
      </c>
      <c r="G12" s="1">
        <v>1147.08</v>
      </c>
      <c r="H12" s="1"/>
      <c r="I12" s="1"/>
      <c r="J12" s="1"/>
      <c r="K12" s="1"/>
      <c r="L12" s="1"/>
    </row>
    <row r="13" spans="1:12" ht="14.45" x14ac:dyDescent="0.3">
      <c r="A13" s="6">
        <v>41753</v>
      </c>
      <c r="B13">
        <v>1152.6400000000001</v>
      </c>
      <c r="C13" s="1">
        <v>1152.82</v>
      </c>
      <c r="D13" s="1">
        <v>1136.43</v>
      </c>
      <c r="E13" s="1">
        <v>1144.3499999999999</v>
      </c>
      <c r="F13" s="1">
        <v>31918300</v>
      </c>
      <c r="G13" s="1">
        <v>1144.3499999999999</v>
      </c>
      <c r="H13" s="1"/>
      <c r="I13" s="1"/>
      <c r="J13" s="1"/>
      <c r="K13" s="1"/>
      <c r="L13" s="1"/>
    </row>
    <row r="14" spans="1:12" ht="14.45" x14ac:dyDescent="0.3">
      <c r="A14" s="6">
        <v>41754</v>
      </c>
      <c r="B14">
        <v>1139.01</v>
      </c>
      <c r="C14" s="1">
        <v>1139.01</v>
      </c>
      <c r="D14" s="1">
        <v>1120.98</v>
      </c>
      <c r="E14" s="1">
        <v>1123.03</v>
      </c>
      <c r="F14" s="1">
        <v>32130200</v>
      </c>
      <c r="G14" s="1">
        <v>1123.03</v>
      </c>
      <c r="H14" s="1"/>
      <c r="I14" s="1"/>
      <c r="J14" s="1"/>
      <c r="K14" s="1"/>
      <c r="L14" s="1"/>
    </row>
    <row r="15" spans="1:12" ht="14.45" x14ac:dyDescent="0.3">
      <c r="A15" s="6">
        <v>41757</v>
      </c>
      <c r="B15">
        <v>1127.18</v>
      </c>
      <c r="C15" s="1">
        <v>1131.67</v>
      </c>
      <c r="D15" s="1">
        <v>1102.26</v>
      </c>
      <c r="E15" s="1">
        <v>1117.06</v>
      </c>
      <c r="F15" s="1">
        <v>40346800</v>
      </c>
      <c r="G15" s="1">
        <v>1117.06</v>
      </c>
      <c r="H15" s="1">
        <f>MAX(C2:C15)</f>
        <v>1160.42</v>
      </c>
      <c r="I15" s="1">
        <f>MIN(D2:D15)</f>
        <v>1095.79</v>
      </c>
      <c r="J15" s="1">
        <f>(E15 - I15) / (H15 - I15) * 100</f>
        <v>32.910413120841632</v>
      </c>
      <c r="K15" s="1"/>
      <c r="L15" s="1"/>
    </row>
    <row r="16" spans="1:12" ht="14.45" x14ac:dyDescent="0.3">
      <c r="A16" s="6">
        <v>41758</v>
      </c>
      <c r="B16">
        <v>1122.04</v>
      </c>
      <c r="C16" s="1">
        <v>1126.46</v>
      </c>
      <c r="D16" s="1">
        <v>1118.42</v>
      </c>
      <c r="E16" s="1">
        <v>1120.83</v>
      </c>
      <c r="F16" s="1">
        <v>36478200</v>
      </c>
      <c r="G16" s="1">
        <v>1120.83</v>
      </c>
      <c r="H16" s="1">
        <f t="shared" ref="H16:H47" si="0">MAX(C3:C16)</f>
        <v>1160.42</v>
      </c>
      <c r="I16" s="1">
        <f t="shared" ref="I16:I47" si="1">MIN(D3:D16)</f>
        <v>1095.79</v>
      </c>
      <c r="J16" s="1">
        <f t="shared" ref="J16:J47" si="2">(E16 - I16) / (H16 - I16) * 100</f>
        <v>38.743617515085752</v>
      </c>
      <c r="K16" s="1"/>
      <c r="L16" s="1"/>
    </row>
    <row r="17" spans="1:12" ht="14.45" x14ac:dyDescent="0.3">
      <c r="A17" s="6">
        <v>41759</v>
      </c>
      <c r="B17">
        <v>1118.46</v>
      </c>
      <c r="C17" s="1">
        <v>1126.96</v>
      </c>
      <c r="D17" s="1">
        <v>1109.3699999999999</v>
      </c>
      <c r="E17" s="1">
        <v>1126.8599999999999</v>
      </c>
      <c r="F17" s="1">
        <v>37792300</v>
      </c>
      <c r="G17" s="1">
        <v>1126.8599999999999</v>
      </c>
      <c r="H17" s="1">
        <f t="shared" si="0"/>
        <v>1159.8</v>
      </c>
      <c r="I17" s="1">
        <f t="shared" si="1"/>
        <v>1095.79</v>
      </c>
      <c r="J17" s="1">
        <f t="shared" si="2"/>
        <v>48.539290735822441</v>
      </c>
      <c r="K17" s="1">
        <f>AVERAGE(J15:J17)</f>
        <v>40.064440457249937</v>
      </c>
      <c r="L17" s="1"/>
    </row>
    <row r="18" spans="1:12" ht="14.45" x14ac:dyDescent="0.3">
      <c r="A18" s="6">
        <v>41760</v>
      </c>
      <c r="B18">
        <v>1126.04</v>
      </c>
      <c r="C18" s="1">
        <v>1133.73</v>
      </c>
      <c r="D18" s="1">
        <v>1114.29</v>
      </c>
      <c r="E18" s="1">
        <v>1125.97</v>
      </c>
      <c r="F18" s="1">
        <v>34167400</v>
      </c>
      <c r="G18" s="1">
        <v>1125.97</v>
      </c>
      <c r="H18" s="1">
        <f t="shared" si="0"/>
        <v>1157.8699999999999</v>
      </c>
      <c r="I18" s="1">
        <f t="shared" si="1"/>
        <v>1095.79</v>
      </c>
      <c r="J18" s="1">
        <f t="shared" si="2"/>
        <v>48.614690721649644</v>
      </c>
      <c r="K18" s="1">
        <f t="shared" ref="K18:K19" si="3">AVERAGE(J16:J18)</f>
        <v>45.299199657519274</v>
      </c>
      <c r="L18" s="1"/>
    </row>
    <row r="19" spans="1:12" ht="14.45" x14ac:dyDescent="0.3">
      <c r="A19" s="6">
        <v>41761</v>
      </c>
      <c r="B19">
        <v>1127.02</v>
      </c>
      <c r="C19" s="1">
        <v>1137.8</v>
      </c>
      <c r="D19" s="1">
        <v>1126.3900000000001</v>
      </c>
      <c r="E19" s="1">
        <v>1128.8</v>
      </c>
      <c r="F19" s="1">
        <v>31595600</v>
      </c>
      <c r="G19" s="1">
        <v>1128.8</v>
      </c>
      <c r="H19" s="1">
        <f t="shared" si="0"/>
        <v>1157.8699999999999</v>
      </c>
      <c r="I19" s="1">
        <f t="shared" si="1"/>
        <v>1095.79</v>
      </c>
      <c r="J19" s="1">
        <f t="shared" si="2"/>
        <v>53.173324742268093</v>
      </c>
      <c r="K19" s="1">
        <f t="shared" si="3"/>
        <v>50.109102066580057</v>
      </c>
      <c r="L19" s="1">
        <f>AVERAGE(K17:K19)</f>
        <v>45.157580727116425</v>
      </c>
    </row>
    <row r="20" spans="1:12" ht="14.45" x14ac:dyDescent="0.3">
      <c r="A20" s="6">
        <v>41764</v>
      </c>
      <c r="B20">
        <v>1122.22</v>
      </c>
      <c r="C20" s="1">
        <v>1127.99</v>
      </c>
      <c r="D20" s="1">
        <v>1115.0999999999999</v>
      </c>
      <c r="E20" s="1">
        <v>1126.3</v>
      </c>
      <c r="F20" s="1">
        <v>27337300</v>
      </c>
      <c r="G20" s="1">
        <v>1126.3</v>
      </c>
      <c r="H20" s="1">
        <f t="shared" si="0"/>
        <v>1157.8699999999999</v>
      </c>
      <c r="I20" s="1">
        <f t="shared" si="1"/>
        <v>1095.79</v>
      </c>
      <c r="J20" s="1">
        <f t="shared" si="2"/>
        <v>49.146262886597981</v>
      </c>
      <c r="K20" s="1">
        <f t="shared" ref="K20:L39" si="4">AVERAGE(J18:J20)</f>
        <v>50.311426116838568</v>
      </c>
      <c r="L20" s="1">
        <f t="shared" si="4"/>
        <v>48.573242613645967</v>
      </c>
    </row>
    <row r="21" spans="1:12" ht="14.45" x14ac:dyDescent="0.3">
      <c r="A21" s="6">
        <v>41765</v>
      </c>
      <c r="B21">
        <v>1121.95</v>
      </c>
      <c r="C21" s="1">
        <v>1124.05</v>
      </c>
      <c r="D21" s="1">
        <v>1108.01</v>
      </c>
      <c r="E21" s="1">
        <v>1108.01</v>
      </c>
      <c r="F21" s="1">
        <v>33272600</v>
      </c>
      <c r="G21" s="1">
        <v>1108.01</v>
      </c>
      <c r="H21" s="1">
        <f t="shared" si="0"/>
        <v>1157.8699999999999</v>
      </c>
      <c r="I21" s="1">
        <f t="shared" si="1"/>
        <v>1102.26</v>
      </c>
      <c r="J21" s="1">
        <f t="shared" si="2"/>
        <v>10.339866930408219</v>
      </c>
      <c r="K21" s="1">
        <f t="shared" si="4"/>
        <v>37.553151519758096</v>
      </c>
      <c r="L21" s="1">
        <f t="shared" si="4"/>
        <v>45.991226567725569</v>
      </c>
    </row>
    <row r="22" spans="1:12" ht="14.45" x14ac:dyDescent="0.3">
      <c r="A22" s="6">
        <v>41766</v>
      </c>
      <c r="B22">
        <v>1109.6099999999999</v>
      </c>
      <c r="C22">
        <v>1110.8499999999999</v>
      </c>
      <c r="D22">
        <v>1093.28</v>
      </c>
      <c r="E22">
        <v>1108.55</v>
      </c>
      <c r="F22">
        <v>36329500</v>
      </c>
      <c r="G22">
        <v>1108.55</v>
      </c>
      <c r="H22">
        <f t="shared" si="0"/>
        <v>1157.8699999999999</v>
      </c>
      <c r="I22">
        <f t="shared" si="1"/>
        <v>1093.28</v>
      </c>
      <c r="J22">
        <f t="shared" si="2"/>
        <v>23.641430562006505</v>
      </c>
      <c r="K22">
        <f t="shared" si="4"/>
        <v>27.709186793004235</v>
      </c>
      <c r="L22">
        <f t="shared" si="4"/>
        <v>38.524588143200297</v>
      </c>
    </row>
    <row r="23" spans="1:12" ht="14.45" x14ac:dyDescent="0.3">
      <c r="A23" s="6">
        <v>41767</v>
      </c>
      <c r="B23">
        <v>1107.6099999999999</v>
      </c>
      <c r="C23">
        <v>1119.79</v>
      </c>
      <c r="D23">
        <v>1095.51</v>
      </c>
      <c r="E23">
        <v>1097.43</v>
      </c>
      <c r="F23">
        <v>33934200</v>
      </c>
      <c r="G23">
        <v>1097.43</v>
      </c>
      <c r="H23">
        <f t="shared" si="0"/>
        <v>1157.8699999999999</v>
      </c>
      <c r="I23">
        <f t="shared" si="1"/>
        <v>1093.28</v>
      </c>
      <c r="J23">
        <f t="shared" si="2"/>
        <v>6.4251432110235278</v>
      </c>
      <c r="K23">
        <f t="shared" si="4"/>
        <v>13.468813567812751</v>
      </c>
      <c r="L23">
        <f t="shared" si="4"/>
        <v>26.243717293525023</v>
      </c>
    </row>
    <row r="24" spans="1:12" ht="14.45" x14ac:dyDescent="0.3">
      <c r="A24" s="6">
        <v>41768</v>
      </c>
      <c r="B24">
        <v>1092.4000000000001</v>
      </c>
      <c r="C24">
        <v>1107.3800000000001</v>
      </c>
      <c r="D24">
        <v>1091.5</v>
      </c>
      <c r="E24">
        <v>1107.22</v>
      </c>
      <c r="F24">
        <v>30250200</v>
      </c>
      <c r="G24">
        <v>1107.22</v>
      </c>
      <c r="H24">
        <f t="shared" si="0"/>
        <v>1157.8699999999999</v>
      </c>
      <c r="I24">
        <f t="shared" si="1"/>
        <v>1091.5</v>
      </c>
      <c r="J24">
        <f t="shared" si="2"/>
        <v>23.685400030134176</v>
      </c>
      <c r="K24">
        <f t="shared" si="4"/>
        <v>17.917324601054734</v>
      </c>
      <c r="L24">
        <f t="shared" si="4"/>
        <v>19.698441653957243</v>
      </c>
    </row>
    <row r="25" spans="1:12" ht="14.45" x14ac:dyDescent="0.3">
      <c r="A25" s="6">
        <v>41771</v>
      </c>
      <c r="B25">
        <v>1111.69</v>
      </c>
      <c r="C25">
        <v>1136.95</v>
      </c>
      <c r="D25">
        <v>1111.69</v>
      </c>
      <c r="E25">
        <v>1133.6500000000001</v>
      </c>
      <c r="F25">
        <v>30057400</v>
      </c>
      <c r="G25">
        <v>1133.6500000000001</v>
      </c>
      <c r="H25">
        <f t="shared" si="0"/>
        <v>1155.42</v>
      </c>
      <c r="I25">
        <f t="shared" si="1"/>
        <v>1091.5</v>
      </c>
      <c r="J25">
        <f t="shared" si="2"/>
        <v>65.941802252816089</v>
      </c>
      <c r="K25">
        <f t="shared" si="4"/>
        <v>32.017448497991261</v>
      </c>
      <c r="L25">
        <f t="shared" si="4"/>
        <v>21.134528888952914</v>
      </c>
    </row>
    <row r="26" spans="1:12" ht="14.45" x14ac:dyDescent="0.3">
      <c r="A26" s="6">
        <v>41772</v>
      </c>
      <c r="B26">
        <v>1132.77</v>
      </c>
      <c r="C26">
        <v>1134.45</v>
      </c>
      <c r="D26">
        <v>1121.03</v>
      </c>
      <c r="E26">
        <v>1121.1600000000001</v>
      </c>
      <c r="F26">
        <v>29156800</v>
      </c>
      <c r="G26">
        <v>1121.1600000000001</v>
      </c>
      <c r="H26">
        <f t="shared" si="0"/>
        <v>1152.82</v>
      </c>
      <c r="I26">
        <f t="shared" si="1"/>
        <v>1091.5</v>
      </c>
      <c r="J26">
        <f t="shared" si="2"/>
        <v>48.369210697978005</v>
      </c>
      <c r="K26">
        <f t="shared" si="4"/>
        <v>45.998804326976085</v>
      </c>
      <c r="L26">
        <f t="shared" si="4"/>
        <v>31.977859142007361</v>
      </c>
    </row>
    <row r="27" spans="1:12" ht="14.45" x14ac:dyDescent="0.3">
      <c r="A27" s="6">
        <v>41773</v>
      </c>
      <c r="B27">
        <v>1120.03</v>
      </c>
      <c r="C27">
        <v>1120.03</v>
      </c>
      <c r="D27">
        <v>1102.06</v>
      </c>
      <c r="E27">
        <v>1103.1400000000001</v>
      </c>
      <c r="F27">
        <v>28220600</v>
      </c>
      <c r="G27">
        <v>1103.1400000000001</v>
      </c>
      <c r="H27">
        <f t="shared" si="0"/>
        <v>1139.01</v>
      </c>
      <c r="I27">
        <f t="shared" si="1"/>
        <v>1091.5</v>
      </c>
      <c r="J27">
        <f t="shared" si="2"/>
        <v>24.50010524100211</v>
      </c>
      <c r="K27">
        <f t="shared" si="4"/>
        <v>46.27037273059873</v>
      </c>
      <c r="L27">
        <f t="shared" si="4"/>
        <v>41.428875185188694</v>
      </c>
    </row>
    <row r="28" spans="1:12" ht="14.45" x14ac:dyDescent="0.3">
      <c r="A28" s="6">
        <v>41774</v>
      </c>
      <c r="B28">
        <v>1099.19</v>
      </c>
      <c r="C28">
        <v>1099.19</v>
      </c>
      <c r="D28">
        <v>1082.53</v>
      </c>
      <c r="E28">
        <v>1095.99</v>
      </c>
      <c r="F28">
        <v>35526400</v>
      </c>
      <c r="G28">
        <v>1095.99</v>
      </c>
      <c r="H28">
        <f t="shared" si="0"/>
        <v>1137.8</v>
      </c>
      <c r="I28">
        <f t="shared" si="1"/>
        <v>1082.53</v>
      </c>
      <c r="J28">
        <f t="shared" si="2"/>
        <v>24.35317532115079</v>
      </c>
      <c r="K28">
        <f t="shared" si="4"/>
        <v>32.4074970867103</v>
      </c>
      <c r="L28">
        <f t="shared" si="4"/>
        <v>41.558891381428367</v>
      </c>
    </row>
    <row r="29" spans="1:12" x14ac:dyDescent="0.25">
      <c r="A29" s="6">
        <v>41775</v>
      </c>
      <c r="B29">
        <v>1095.18</v>
      </c>
      <c r="C29">
        <v>1102.9100000000001</v>
      </c>
      <c r="D29">
        <v>1088.56</v>
      </c>
      <c r="E29">
        <v>1102.9100000000001</v>
      </c>
      <c r="F29">
        <v>31736500</v>
      </c>
      <c r="G29">
        <v>1102.9100000000001</v>
      </c>
      <c r="H29">
        <f t="shared" si="0"/>
        <v>1137.8</v>
      </c>
      <c r="I29">
        <f t="shared" si="1"/>
        <v>1082.53</v>
      </c>
      <c r="J29">
        <f t="shared" si="2"/>
        <v>36.873529943911912</v>
      </c>
      <c r="K29">
        <f t="shared" si="4"/>
        <v>28.575603502021607</v>
      </c>
      <c r="L29">
        <f t="shared" si="4"/>
        <v>35.751157773110215</v>
      </c>
    </row>
    <row r="30" spans="1:12" x14ac:dyDescent="0.25">
      <c r="A30" s="6">
        <v>41778</v>
      </c>
      <c r="B30">
        <v>1100.58</v>
      </c>
      <c r="C30">
        <v>1116.04</v>
      </c>
      <c r="D30">
        <v>1099.6199999999999</v>
      </c>
      <c r="E30">
        <v>1114.43</v>
      </c>
      <c r="F30">
        <v>26642500</v>
      </c>
      <c r="G30">
        <v>1114.43</v>
      </c>
      <c r="H30">
        <f t="shared" si="0"/>
        <v>1137.8</v>
      </c>
      <c r="I30">
        <f t="shared" si="1"/>
        <v>1082.53</v>
      </c>
      <c r="J30">
        <f t="shared" si="2"/>
        <v>57.716663651167174</v>
      </c>
      <c r="K30">
        <f t="shared" si="4"/>
        <v>39.647789638743291</v>
      </c>
      <c r="L30">
        <f t="shared" si="4"/>
        <v>33.543630075825064</v>
      </c>
    </row>
    <row r="31" spans="1:12" x14ac:dyDescent="0.25">
      <c r="A31" s="6">
        <v>41779</v>
      </c>
      <c r="B31">
        <v>1112.08</v>
      </c>
      <c r="C31">
        <v>1112.08</v>
      </c>
      <c r="D31">
        <v>1092</v>
      </c>
      <c r="E31">
        <v>1097.9000000000001</v>
      </c>
      <c r="F31">
        <v>30077000</v>
      </c>
      <c r="G31">
        <v>1097.9000000000001</v>
      </c>
      <c r="H31">
        <f t="shared" si="0"/>
        <v>1137.8</v>
      </c>
      <c r="I31">
        <f t="shared" si="1"/>
        <v>1082.53</v>
      </c>
      <c r="J31">
        <f t="shared" si="2"/>
        <v>27.808937941017049</v>
      </c>
      <c r="K31">
        <f t="shared" si="4"/>
        <v>40.799710512032043</v>
      </c>
      <c r="L31">
        <f t="shared" si="4"/>
        <v>36.341034550932314</v>
      </c>
    </row>
    <row r="32" spans="1:12" x14ac:dyDescent="0.25">
      <c r="A32" s="6">
        <v>41780</v>
      </c>
      <c r="B32">
        <v>1101.3699999999999</v>
      </c>
      <c r="C32">
        <v>1107.26</v>
      </c>
      <c r="D32">
        <v>1093.67</v>
      </c>
      <c r="E32">
        <v>1103.6300000000001</v>
      </c>
      <c r="F32">
        <v>27771400</v>
      </c>
      <c r="G32">
        <v>1103.6300000000001</v>
      </c>
      <c r="H32">
        <f t="shared" si="0"/>
        <v>1137.8</v>
      </c>
      <c r="I32">
        <f t="shared" si="1"/>
        <v>1082.53</v>
      </c>
      <c r="J32">
        <f t="shared" si="2"/>
        <v>38.17622580061542</v>
      </c>
      <c r="K32">
        <f t="shared" si="4"/>
        <v>41.233942464266541</v>
      </c>
      <c r="L32">
        <f t="shared" si="4"/>
        <v>40.560480871680625</v>
      </c>
    </row>
    <row r="33" spans="1:12" x14ac:dyDescent="0.25">
      <c r="A33" s="6">
        <v>41781</v>
      </c>
      <c r="B33">
        <v>1105.45</v>
      </c>
      <c r="C33">
        <v>1116.6099999999999</v>
      </c>
      <c r="D33">
        <v>1105.1500000000001</v>
      </c>
      <c r="E33">
        <v>1113.8699999999999</v>
      </c>
      <c r="F33">
        <v>27598000</v>
      </c>
      <c r="G33">
        <v>1113.8699999999999</v>
      </c>
      <c r="H33">
        <f t="shared" si="0"/>
        <v>1136.95</v>
      </c>
      <c r="I33">
        <f t="shared" si="1"/>
        <v>1082.53</v>
      </c>
      <c r="J33">
        <f t="shared" si="2"/>
        <v>57.589121646453279</v>
      </c>
      <c r="K33">
        <f t="shared" si="4"/>
        <v>41.191428462695249</v>
      </c>
      <c r="L33">
        <f t="shared" si="4"/>
        <v>41.07502714633128</v>
      </c>
    </row>
    <row r="34" spans="1:12" x14ac:dyDescent="0.25">
      <c r="A34" s="6">
        <v>41782</v>
      </c>
      <c r="B34">
        <v>1115.3</v>
      </c>
      <c r="C34">
        <v>1126.2</v>
      </c>
      <c r="D34">
        <v>1113.75</v>
      </c>
      <c r="E34">
        <v>1126.19</v>
      </c>
      <c r="F34">
        <v>23962800</v>
      </c>
      <c r="G34">
        <v>1126.19</v>
      </c>
      <c r="H34">
        <f t="shared" si="0"/>
        <v>1136.95</v>
      </c>
      <c r="I34">
        <f t="shared" si="1"/>
        <v>1082.53</v>
      </c>
      <c r="J34">
        <f t="shared" si="2"/>
        <v>80.227857405365725</v>
      </c>
      <c r="K34">
        <f t="shared" si="4"/>
        <v>58.664401617478141</v>
      </c>
      <c r="L34">
        <f t="shared" si="4"/>
        <v>47.029924181479977</v>
      </c>
    </row>
    <row r="35" spans="1:12" x14ac:dyDescent="0.25">
      <c r="A35" s="6">
        <v>41786</v>
      </c>
      <c r="B35">
        <v>1132.43</v>
      </c>
      <c r="C35">
        <v>1144.0999999999999</v>
      </c>
      <c r="D35">
        <v>1132.43</v>
      </c>
      <c r="E35">
        <v>1142.2</v>
      </c>
      <c r="F35">
        <v>29110200</v>
      </c>
      <c r="G35">
        <v>1142.2</v>
      </c>
      <c r="H35">
        <f t="shared" si="0"/>
        <v>1144.0999999999999</v>
      </c>
      <c r="I35">
        <f t="shared" si="1"/>
        <v>1082.53</v>
      </c>
      <c r="J35">
        <f t="shared" si="2"/>
        <v>96.914081533214443</v>
      </c>
      <c r="K35">
        <f t="shared" si="4"/>
        <v>78.243686861677816</v>
      </c>
      <c r="L35">
        <f t="shared" si="4"/>
        <v>59.366505647283738</v>
      </c>
    </row>
    <row r="36" spans="1:12" x14ac:dyDescent="0.25">
      <c r="A36" s="6">
        <v>41787</v>
      </c>
      <c r="B36">
        <v>1140.8399999999999</v>
      </c>
      <c r="C36">
        <v>1140.8399999999999</v>
      </c>
      <c r="D36">
        <v>1132.95</v>
      </c>
      <c r="E36">
        <v>1136.68</v>
      </c>
      <c r="F36">
        <v>29764500</v>
      </c>
      <c r="G36">
        <v>1136.68</v>
      </c>
      <c r="H36">
        <f t="shared" si="0"/>
        <v>1144.0999999999999</v>
      </c>
      <c r="I36">
        <f t="shared" si="1"/>
        <v>1082.53</v>
      </c>
      <c r="J36">
        <f t="shared" si="2"/>
        <v>87.948676303394748</v>
      </c>
      <c r="K36">
        <f t="shared" si="4"/>
        <v>88.363538413991634</v>
      </c>
      <c r="L36">
        <f t="shared" si="4"/>
        <v>75.090542297715857</v>
      </c>
    </row>
    <row r="37" spans="1:12" x14ac:dyDescent="0.25">
      <c r="A37" s="6">
        <v>41788</v>
      </c>
      <c r="B37">
        <v>1140.0899999999999</v>
      </c>
      <c r="C37">
        <v>1141.3499999999999</v>
      </c>
      <c r="D37">
        <v>1134.78</v>
      </c>
      <c r="E37">
        <v>1140.07</v>
      </c>
      <c r="F37">
        <v>27090500</v>
      </c>
      <c r="G37">
        <v>1140.07</v>
      </c>
      <c r="H37">
        <f t="shared" si="0"/>
        <v>1144.0999999999999</v>
      </c>
      <c r="I37">
        <f t="shared" si="1"/>
        <v>1082.53</v>
      </c>
      <c r="J37">
        <f t="shared" si="2"/>
        <v>93.454604515186006</v>
      </c>
      <c r="K37">
        <f t="shared" si="4"/>
        <v>92.77245411726507</v>
      </c>
      <c r="L37">
        <f t="shared" si="4"/>
        <v>86.459893130978173</v>
      </c>
    </row>
    <row r="38" spans="1:12" x14ac:dyDescent="0.25">
      <c r="A38" s="6">
        <v>41789</v>
      </c>
      <c r="B38">
        <v>1141.73</v>
      </c>
      <c r="C38">
        <v>1141.73</v>
      </c>
      <c r="D38">
        <v>1130.8</v>
      </c>
      <c r="E38">
        <v>1134.5</v>
      </c>
      <c r="F38">
        <v>32634900</v>
      </c>
      <c r="G38">
        <v>1134.5</v>
      </c>
      <c r="H38">
        <f t="shared" si="0"/>
        <v>1144.0999999999999</v>
      </c>
      <c r="I38">
        <f t="shared" si="1"/>
        <v>1082.53</v>
      </c>
      <c r="J38">
        <f t="shared" si="2"/>
        <v>84.407990904661489</v>
      </c>
      <c r="K38">
        <f t="shared" si="4"/>
        <v>88.603757241080757</v>
      </c>
      <c r="L38">
        <f t="shared" si="4"/>
        <v>89.913249924112492</v>
      </c>
    </row>
    <row r="39" spans="1:12" x14ac:dyDescent="0.25">
      <c r="A39" s="6">
        <v>41792</v>
      </c>
      <c r="B39">
        <v>1136.3699999999999</v>
      </c>
      <c r="C39">
        <v>1136.82</v>
      </c>
      <c r="D39">
        <v>1121.05</v>
      </c>
      <c r="E39">
        <v>1128.9000000000001</v>
      </c>
      <c r="F39">
        <v>25090200</v>
      </c>
      <c r="G39">
        <v>1128.9000000000001</v>
      </c>
      <c r="H39">
        <f t="shared" si="0"/>
        <v>1144.0999999999999</v>
      </c>
      <c r="I39">
        <f t="shared" si="1"/>
        <v>1082.53</v>
      </c>
      <c r="J39">
        <f t="shared" si="2"/>
        <v>75.312652265714092</v>
      </c>
      <c r="K39">
        <f t="shared" si="4"/>
        <v>84.391749228520524</v>
      </c>
      <c r="L39">
        <f t="shared" si="4"/>
        <v>88.589320195622122</v>
      </c>
    </row>
    <row r="40" spans="1:12" x14ac:dyDescent="0.25">
      <c r="A40" s="6">
        <v>41793</v>
      </c>
      <c r="B40">
        <v>1125.23</v>
      </c>
      <c r="C40">
        <v>1129.26</v>
      </c>
      <c r="D40">
        <v>1118.6600000000001</v>
      </c>
      <c r="E40">
        <v>1126.1500000000001</v>
      </c>
      <c r="F40">
        <v>28671800</v>
      </c>
      <c r="G40">
        <v>1126.1500000000001</v>
      </c>
      <c r="H40">
        <f t="shared" si="0"/>
        <v>1144.0999999999999</v>
      </c>
      <c r="I40">
        <f t="shared" si="1"/>
        <v>1082.53</v>
      </c>
      <c r="J40">
        <f t="shared" si="2"/>
        <v>70.846191326945203</v>
      </c>
      <c r="K40">
        <f t="shared" ref="K40:L59" si="5">AVERAGE(J38:J40)</f>
        <v>76.855611499106928</v>
      </c>
      <c r="L40">
        <f t="shared" si="5"/>
        <v>83.283705989569398</v>
      </c>
    </row>
    <row r="41" spans="1:12" x14ac:dyDescent="0.25">
      <c r="A41" s="6">
        <v>41794</v>
      </c>
      <c r="B41">
        <v>1122.9100000000001</v>
      </c>
      <c r="C41">
        <v>1131.75</v>
      </c>
      <c r="D41">
        <v>1119.8599999999999</v>
      </c>
      <c r="E41">
        <v>1131.22</v>
      </c>
      <c r="F41">
        <v>27939200</v>
      </c>
      <c r="G41">
        <v>1131.22</v>
      </c>
      <c r="H41">
        <f t="shared" si="0"/>
        <v>1144.0999999999999</v>
      </c>
      <c r="I41">
        <f t="shared" si="1"/>
        <v>1082.53</v>
      </c>
      <c r="J41">
        <f t="shared" si="2"/>
        <v>79.080721130420827</v>
      </c>
      <c r="K41">
        <f t="shared" si="5"/>
        <v>75.079854907693388</v>
      </c>
      <c r="L41">
        <f t="shared" si="5"/>
        <v>78.775738545106947</v>
      </c>
    </row>
    <row r="42" spans="1:12" x14ac:dyDescent="0.25">
      <c r="A42" s="6">
        <v>41795</v>
      </c>
      <c r="B42">
        <v>1133.78</v>
      </c>
      <c r="C42">
        <v>1153.94</v>
      </c>
      <c r="D42">
        <v>1128.4000000000001</v>
      </c>
      <c r="E42">
        <v>1153.94</v>
      </c>
      <c r="F42">
        <v>31132700</v>
      </c>
      <c r="G42">
        <v>1153.94</v>
      </c>
      <c r="H42">
        <f t="shared" si="0"/>
        <v>1153.94</v>
      </c>
      <c r="I42">
        <f t="shared" si="1"/>
        <v>1088.56</v>
      </c>
      <c r="J42">
        <f t="shared" si="2"/>
        <v>100</v>
      </c>
      <c r="K42">
        <f t="shared" si="5"/>
        <v>83.30897081912201</v>
      </c>
      <c r="L42">
        <f t="shared" si="5"/>
        <v>78.414812408640771</v>
      </c>
    </row>
    <row r="43" spans="1:12" x14ac:dyDescent="0.25">
      <c r="A43" s="6">
        <v>41796</v>
      </c>
      <c r="B43">
        <v>1158.69</v>
      </c>
      <c r="C43">
        <v>1167.54</v>
      </c>
      <c r="D43">
        <v>1158.3900000000001</v>
      </c>
      <c r="E43">
        <v>1165.21</v>
      </c>
      <c r="F43">
        <v>28643000</v>
      </c>
      <c r="G43">
        <v>1165.21</v>
      </c>
      <c r="H43">
        <f t="shared" si="0"/>
        <v>1167.54</v>
      </c>
      <c r="I43">
        <f t="shared" si="1"/>
        <v>1092</v>
      </c>
      <c r="J43">
        <f t="shared" si="2"/>
        <v>96.915541435001415</v>
      </c>
      <c r="K43">
        <f t="shared" si="5"/>
        <v>91.998754188474095</v>
      </c>
      <c r="L43">
        <f t="shared" si="5"/>
        <v>83.462526638429836</v>
      </c>
    </row>
    <row r="44" spans="1:12" x14ac:dyDescent="0.25">
      <c r="A44" s="6">
        <v>41799</v>
      </c>
      <c r="B44">
        <v>1166.28</v>
      </c>
      <c r="C44">
        <v>1179.8399999999999</v>
      </c>
      <c r="D44">
        <v>1166.1400000000001</v>
      </c>
      <c r="E44">
        <v>1175.8800000000001</v>
      </c>
      <c r="F44">
        <v>28121800</v>
      </c>
      <c r="G44">
        <v>1175.8800000000001</v>
      </c>
      <c r="H44">
        <f t="shared" si="0"/>
        <v>1179.8399999999999</v>
      </c>
      <c r="I44">
        <f t="shared" si="1"/>
        <v>1092</v>
      </c>
      <c r="J44">
        <f t="shared" si="2"/>
        <v>95.491803278688735</v>
      </c>
      <c r="K44">
        <f t="shared" si="5"/>
        <v>97.469114904563369</v>
      </c>
      <c r="L44">
        <f t="shared" si="5"/>
        <v>90.925613304053158</v>
      </c>
    </row>
    <row r="45" spans="1:12" x14ac:dyDescent="0.25">
      <c r="A45" s="6">
        <v>41800</v>
      </c>
      <c r="B45">
        <v>1173.1199999999999</v>
      </c>
      <c r="C45">
        <v>1173.8399999999999</v>
      </c>
      <c r="D45">
        <v>1166.9000000000001</v>
      </c>
      <c r="E45">
        <v>1172.71</v>
      </c>
      <c r="F45">
        <v>27023600</v>
      </c>
      <c r="G45">
        <v>1172.71</v>
      </c>
      <c r="H45">
        <f t="shared" si="0"/>
        <v>1179.8399999999999</v>
      </c>
      <c r="I45">
        <f t="shared" si="1"/>
        <v>1093.67</v>
      </c>
      <c r="J45">
        <f t="shared" si="2"/>
        <v>91.725658581873162</v>
      </c>
      <c r="K45">
        <f t="shared" si="5"/>
        <v>94.711001098521095</v>
      </c>
      <c r="L45">
        <f t="shared" si="5"/>
        <v>94.726290063852844</v>
      </c>
    </row>
    <row r="46" spans="1:12" x14ac:dyDescent="0.25">
      <c r="A46" s="6">
        <v>41801</v>
      </c>
      <c r="B46">
        <v>1167.69</v>
      </c>
      <c r="C46">
        <v>1168.99</v>
      </c>
      <c r="D46">
        <v>1161.43</v>
      </c>
      <c r="E46">
        <v>1166.71</v>
      </c>
      <c r="F46">
        <v>27106200</v>
      </c>
      <c r="G46">
        <v>1166.71</v>
      </c>
      <c r="H46">
        <f t="shared" si="0"/>
        <v>1179.8399999999999</v>
      </c>
      <c r="I46">
        <f t="shared" si="1"/>
        <v>1105.1500000000001</v>
      </c>
      <c r="J46">
        <f t="shared" si="2"/>
        <v>82.420672111393884</v>
      </c>
      <c r="K46">
        <f t="shared" si="5"/>
        <v>89.879377990651918</v>
      </c>
      <c r="L46">
        <f t="shared" si="5"/>
        <v>94.01983133124547</v>
      </c>
    </row>
    <row r="47" spans="1:12" x14ac:dyDescent="0.25">
      <c r="A47" s="6">
        <v>41802</v>
      </c>
      <c r="B47">
        <v>1165.27</v>
      </c>
      <c r="C47">
        <v>1165.3699999999999</v>
      </c>
      <c r="D47">
        <v>1156.07</v>
      </c>
      <c r="E47">
        <v>1159.4000000000001</v>
      </c>
      <c r="F47">
        <v>30404800</v>
      </c>
      <c r="G47">
        <v>1159.4000000000001</v>
      </c>
      <c r="H47">
        <f t="shared" si="0"/>
        <v>1179.8399999999999</v>
      </c>
      <c r="I47">
        <f t="shared" si="1"/>
        <v>1113.75</v>
      </c>
      <c r="J47">
        <f t="shared" si="2"/>
        <v>69.072476925404985</v>
      </c>
      <c r="K47">
        <f t="shared" si="5"/>
        <v>81.072935872890682</v>
      </c>
      <c r="L47">
        <f t="shared" si="5"/>
        <v>88.554438320687893</v>
      </c>
    </row>
    <row r="48" spans="1:12" x14ac:dyDescent="0.25">
      <c r="A48" s="6">
        <v>41803</v>
      </c>
      <c r="B48">
        <v>1162.5899999999999</v>
      </c>
      <c r="C48">
        <v>1164.0899999999999</v>
      </c>
      <c r="D48">
        <v>1154.33</v>
      </c>
      <c r="E48">
        <v>1162.68</v>
      </c>
      <c r="F48">
        <v>25982300</v>
      </c>
      <c r="G48">
        <v>1162.68</v>
      </c>
      <c r="H48">
        <f t="shared" ref="H48:H79" si="6">MAX(C35:C48)</f>
        <v>1179.8399999999999</v>
      </c>
      <c r="I48">
        <f t="shared" ref="I48:I79" si="7">MIN(D35:D48)</f>
        <v>1118.6600000000001</v>
      </c>
      <c r="J48">
        <f t="shared" ref="J48:J79" si="8">(E48 - I48) / (H48 - I48) * 100</f>
        <v>71.951618175874628</v>
      </c>
      <c r="K48">
        <f t="shared" si="5"/>
        <v>74.481589070891161</v>
      </c>
      <c r="L48">
        <f t="shared" si="5"/>
        <v>81.811300978144587</v>
      </c>
    </row>
    <row r="49" spans="1:12" x14ac:dyDescent="0.25">
      <c r="A49" s="6">
        <v>41806</v>
      </c>
      <c r="B49">
        <v>1162.02</v>
      </c>
      <c r="C49">
        <v>1166.93</v>
      </c>
      <c r="D49">
        <v>1158.0999999999999</v>
      </c>
      <c r="E49">
        <v>1166.82</v>
      </c>
      <c r="F49">
        <v>29261300</v>
      </c>
      <c r="G49">
        <v>1166.82</v>
      </c>
      <c r="H49">
        <f t="shared" si="6"/>
        <v>1179.8399999999999</v>
      </c>
      <c r="I49">
        <f t="shared" si="7"/>
        <v>1118.6600000000001</v>
      </c>
      <c r="J49">
        <f t="shared" si="8"/>
        <v>78.718535469107522</v>
      </c>
      <c r="K49">
        <f t="shared" si="5"/>
        <v>73.247543523462369</v>
      </c>
      <c r="L49">
        <f t="shared" si="5"/>
        <v>76.267356155748075</v>
      </c>
    </row>
    <row r="50" spans="1:12" x14ac:dyDescent="0.25">
      <c r="A50" s="6">
        <v>41807</v>
      </c>
      <c r="B50">
        <v>1165.6400000000001</v>
      </c>
      <c r="C50">
        <v>1179.29</v>
      </c>
      <c r="D50">
        <v>1163.67</v>
      </c>
      <c r="E50">
        <v>1176.6199999999999</v>
      </c>
      <c r="F50">
        <v>29712600</v>
      </c>
      <c r="G50">
        <v>1176.6199999999999</v>
      </c>
      <c r="H50">
        <f t="shared" si="6"/>
        <v>1179.8399999999999</v>
      </c>
      <c r="I50">
        <f t="shared" si="7"/>
        <v>1118.6600000000001</v>
      </c>
      <c r="J50">
        <f t="shared" si="8"/>
        <v>94.736842105263094</v>
      </c>
      <c r="K50">
        <f t="shared" si="5"/>
        <v>81.802331916748415</v>
      </c>
      <c r="L50">
        <f t="shared" si="5"/>
        <v>76.51048817036731</v>
      </c>
    </row>
    <row r="51" spans="1:12" x14ac:dyDescent="0.25">
      <c r="A51" s="6">
        <v>41808</v>
      </c>
      <c r="B51">
        <v>1176.6400000000001</v>
      </c>
      <c r="C51">
        <v>1183.3800000000001</v>
      </c>
      <c r="D51">
        <v>1172.03</v>
      </c>
      <c r="E51">
        <v>1183.1300000000001</v>
      </c>
      <c r="F51">
        <v>30652200</v>
      </c>
      <c r="G51">
        <v>1183.1300000000001</v>
      </c>
      <c r="H51">
        <f t="shared" si="6"/>
        <v>1183.3800000000001</v>
      </c>
      <c r="I51">
        <f t="shared" si="7"/>
        <v>1118.6600000000001</v>
      </c>
      <c r="J51">
        <f t="shared" si="8"/>
        <v>99.613720642768854</v>
      </c>
      <c r="K51">
        <f t="shared" si="5"/>
        <v>91.023032739046485</v>
      </c>
      <c r="L51">
        <f t="shared" si="5"/>
        <v>82.02430272641908</v>
      </c>
    </row>
    <row r="52" spans="1:12" x14ac:dyDescent="0.25">
      <c r="A52" s="6">
        <v>41809</v>
      </c>
      <c r="B52">
        <v>1185.8800000000001</v>
      </c>
      <c r="C52">
        <v>1186.78</v>
      </c>
      <c r="D52">
        <v>1177.8</v>
      </c>
      <c r="E52">
        <v>1184.03</v>
      </c>
      <c r="F52">
        <v>29521500</v>
      </c>
      <c r="G52">
        <v>1184.03</v>
      </c>
      <c r="H52">
        <f t="shared" si="6"/>
        <v>1186.78</v>
      </c>
      <c r="I52">
        <f t="shared" si="7"/>
        <v>1118.6600000000001</v>
      </c>
      <c r="J52">
        <f t="shared" si="8"/>
        <v>95.963006459189657</v>
      </c>
      <c r="K52">
        <f t="shared" si="5"/>
        <v>96.771189735740549</v>
      </c>
      <c r="L52">
        <f t="shared" si="5"/>
        <v>89.865518130511816</v>
      </c>
    </row>
    <row r="53" spans="1:12" x14ac:dyDescent="0.25">
      <c r="A53" s="6">
        <v>41810</v>
      </c>
      <c r="B53">
        <v>1186.1300000000001</v>
      </c>
      <c r="C53">
        <v>1188.52</v>
      </c>
      <c r="D53">
        <v>1182.05</v>
      </c>
      <c r="E53">
        <v>1188.43</v>
      </c>
      <c r="F53">
        <v>43362400</v>
      </c>
      <c r="G53">
        <v>1188.43</v>
      </c>
      <c r="H53">
        <f t="shared" si="6"/>
        <v>1188.52</v>
      </c>
      <c r="I53">
        <f t="shared" si="7"/>
        <v>1118.6600000000001</v>
      </c>
      <c r="J53">
        <f t="shared" si="8"/>
        <v>99.871170913255199</v>
      </c>
      <c r="K53">
        <f t="shared" si="5"/>
        <v>98.482632671737903</v>
      </c>
      <c r="L53">
        <f t="shared" si="5"/>
        <v>95.425618382174989</v>
      </c>
    </row>
    <row r="54" spans="1:12" x14ac:dyDescent="0.25">
      <c r="A54" s="6">
        <v>41813</v>
      </c>
      <c r="B54">
        <v>1189.47</v>
      </c>
      <c r="C54">
        <v>1190.31</v>
      </c>
      <c r="D54">
        <v>1183.1600000000001</v>
      </c>
      <c r="E54">
        <v>1184.95</v>
      </c>
      <c r="F54">
        <v>27176300</v>
      </c>
      <c r="G54">
        <v>1184.95</v>
      </c>
      <c r="H54">
        <f t="shared" si="6"/>
        <v>1190.31</v>
      </c>
      <c r="I54">
        <f t="shared" si="7"/>
        <v>1119.8599999999999</v>
      </c>
      <c r="J54">
        <f t="shared" si="8"/>
        <v>92.391767210787947</v>
      </c>
      <c r="K54">
        <f t="shared" si="5"/>
        <v>96.075314861077615</v>
      </c>
      <c r="L54">
        <f t="shared" si="5"/>
        <v>97.109712422852013</v>
      </c>
    </row>
    <row r="55" spans="1:12" x14ac:dyDescent="0.25">
      <c r="A55" s="6">
        <v>41814</v>
      </c>
      <c r="B55">
        <v>1182.96</v>
      </c>
      <c r="C55">
        <v>1193.5999999999999</v>
      </c>
      <c r="D55">
        <v>1172.98</v>
      </c>
      <c r="E55">
        <v>1173.24</v>
      </c>
      <c r="F55">
        <v>30897000</v>
      </c>
      <c r="G55">
        <v>1173.24</v>
      </c>
      <c r="H55">
        <f t="shared" si="6"/>
        <v>1193.5999999999999</v>
      </c>
      <c r="I55">
        <f t="shared" si="7"/>
        <v>1128.4000000000001</v>
      </c>
      <c r="J55">
        <f t="shared" si="8"/>
        <v>68.773006134969393</v>
      </c>
      <c r="K55">
        <f t="shared" si="5"/>
        <v>87.01198141967086</v>
      </c>
      <c r="L55">
        <f t="shared" si="5"/>
        <v>93.856642984162136</v>
      </c>
    </row>
    <row r="56" spans="1:12" x14ac:dyDescent="0.25">
      <c r="A56" s="6">
        <v>41815</v>
      </c>
      <c r="B56">
        <v>1168.74</v>
      </c>
      <c r="C56">
        <v>1182.75</v>
      </c>
      <c r="D56">
        <v>1168.53</v>
      </c>
      <c r="E56">
        <v>1182.68</v>
      </c>
      <c r="F56">
        <v>31067100</v>
      </c>
      <c r="G56">
        <v>1182.68</v>
      </c>
      <c r="H56">
        <f t="shared" si="6"/>
        <v>1193.5999999999999</v>
      </c>
      <c r="I56">
        <f t="shared" si="7"/>
        <v>1154.33</v>
      </c>
      <c r="J56">
        <f t="shared" si="8"/>
        <v>72.192513368984336</v>
      </c>
      <c r="K56">
        <f t="shared" si="5"/>
        <v>77.78576223824723</v>
      </c>
      <c r="L56">
        <f t="shared" si="5"/>
        <v>86.957686172998578</v>
      </c>
    </row>
    <row r="57" spans="1:12" x14ac:dyDescent="0.25">
      <c r="A57" s="6">
        <v>41816</v>
      </c>
      <c r="B57">
        <v>1182.6099999999999</v>
      </c>
      <c r="C57">
        <v>1182.79</v>
      </c>
      <c r="D57">
        <v>1172.9100000000001</v>
      </c>
      <c r="E57">
        <v>1180.71</v>
      </c>
      <c r="F57">
        <v>27788400</v>
      </c>
      <c r="G57">
        <v>1180.71</v>
      </c>
      <c r="H57">
        <f t="shared" si="6"/>
        <v>1193.5999999999999</v>
      </c>
      <c r="I57">
        <f t="shared" si="7"/>
        <v>1154.33</v>
      </c>
      <c r="J57">
        <f t="shared" si="8"/>
        <v>67.175961293608665</v>
      </c>
      <c r="K57">
        <f t="shared" si="5"/>
        <v>69.38049359918746</v>
      </c>
      <c r="L57">
        <f t="shared" si="5"/>
        <v>78.059412419035183</v>
      </c>
    </row>
    <row r="58" spans="1:12" x14ac:dyDescent="0.25">
      <c r="A58" s="6">
        <v>41817</v>
      </c>
      <c r="B58">
        <v>1175.25</v>
      </c>
      <c r="C58">
        <v>1189.5</v>
      </c>
      <c r="D58">
        <v>1175.02</v>
      </c>
      <c r="E58">
        <v>1189.5</v>
      </c>
      <c r="F58">
        <v>42905900</v>
      </c>
      <c r="G58">
        <v>1189.5</v>
      </c>
      <c r="H58">
        <f t="shared" si="6"/>
        <v>1193.5999999999999</v>
      </c>
      <c r="I58">
        <f t="shared" si="7"/>
        <v>1154.33</v>
      </c>
      <c r="J58">
        <f t="shared" si="8"/>
        <v>89.559460147695674</v>
      </c>
      <c r="K58">
        <f t="shared" si="5"/>
        <v>76.309311603429549</v>
      </c>
      <c r="L58">
        <f t="shared" si="5"/>
        <v>74.491855813621399</v>
      </c>
    </row>
    <row r="59" spans="1:12" x14ac:dyDescent="0.25">
      <c r="A59" s="6">
        <v>41820</v>
      </c>
      <c r="B59">
        <v>1188.4100000000001</v>
      </c>
      <c r="C59">
        <v>1193.4000000000001</v>
      </c>
      <c r="D59">
        <v>1185.24</v>
      </c>
      <c r="E59">
        <v>1192.96</v>
      </c>
      <c r="F59">
        <v>30373500</v>
      </c>
      <c r="G59">
        <v>1192.96</v>
      </c>
      <c r="H59">
        <f t="shared" si="6"/>
        <v>1193.5999999999999</v>
      </c>
      <c r="I59">
        <f t="shared" si="7"/>
        <v>1154.33</v>
      </c>
      <c r="J59">
        <f t="shared" si="8"/>
        <v>98.370257193786927</v>
      </c>
      <c r="K59">
        <f t="shared" si="5"/>
        <v>85.035226211697093</v>
      </c>
      <c r="L59">
        <f t="shared" si="5"/>
        <v>76.908343804771377</v>
      </c>
    </row>
    <row r="60" spans="1:12" x14ac:dyDescent="0.25">
      <c r="A60" s="6">
        <v>41821</v>
      </c>
      <c r="B60">
        <v>1196.23</v>
      </c>
      <c r="C60">
        <v>1213.55</v>
      </c>
      <c r="D60">
        <v>1196.1300000000001</v>
      </c>
      <c r="E60">
        <v>1205.95</v>
      </c>
      <c r="F60">
        <v>31882400</v>
      </c>
      <c r="G60">
        <v>1205.95</v>
      </c>
      <c r="H60">
        <f t="shared" si="6"/>
        <v>1213.55</v>
      </c>
      <c r="I60">
        <f t="shared" si="7"/>
        <v>1154.33</v>
      </c>
      <c r="J60">
        <f t="shared" si="8"/>
        <v>87.166497804795839</v>
      </c>
      <c r="K60">
        <f t="shared" ref="K60:L79" si="9">AVERAGE(J58:J60)</f>
        <v>91.698738382092813</v>
      </c>
      <c r="L60">
        <f t="shared" si="9"/>
        <v>84.34775873240649</v>
      </c>
    </row>
    <row r="61" spans="1:12" x14ac:dyDescent="0.25">
      <c r="A61" s="6">
        <v>41822</v>
      </c>
      <c r="B61">
        <v>1204.78</v>
      </c>
      <c r="C61">
        <v>1207.3699999999999</v>
      </c>
      <c r="D61">
        <v>1198.58</v>
      </c>
      <c r="E61">
        <v>1199.5</v>
      </c>
      <c r="F61">
        <v>28514800</v>
      </c>
      <c r="G61">
        <v>1199.5</v>
      </c>
      <c r="H61">
        <f t="shared" si="6"/>
        <v>1213.55</v>
      </c>
      <c r="I61">
        <f t="shared" si="7"/>
        <v>1154.33</v>
      </c>
      <c r="J61">
        <f t="shared" si="8"/>
        <v>76.274907125971055</v>
      </c>
      <c r="K61">
        <f t="shared" si="9"/>
        <v>87.270554041517926</v>
      </c>
      <c r="L61">
        <f t="shared" si="9"/>
        <v>88.001506211769268</v>
      </c>
    </row>
    <row r="62" spans="1:12" x14ac:dyDescent="0.25">
      <c r="A62" s="6">
        <v>41823</v>
      </c>
      <c r="B62">
        <v>1203.47</v>
      </c>
      <c r="C62">
        <v>1208.1500000000001</v>
      </c>
      <c r="D62">
        <v>1203.43</v>
      </c>
      <c r="E62">
        <v>1208.1500000000001</v>
      </c>
      <c r="F62">
        <v>19980900</v>
      </c>
      <c r="G62">
        <v>1208.1500000000001</v>
      </c>
      <c r="H62">
        <f t="shared" si="6"/>
        <v>1213.55</v>
      </c>
      <c r="I62">
        <f t="shared" si="7"/>
        <v>1158.0999999999999</v>
      </c>
      <c r="J62">
        <f t="shared" si="8"/>
        <v>90.261496844003858</v>
      </c>
      <c r="K62">
        <f t="shared" si="9"/>
        <v>84.567633924923584</v>
      </c>
      <c r="L62">
        <f t="shared" si="9"/>
        <v>87.845642116178112</v>
      </c>
    </row>
    <row r="63" spans="1:12" x14ac:dyDescent="0.25">
      <c r="A63" s="6">
        <v>41827</v>
      </c>
      <c r="B63">
        <v>1204.6400000000001</v>
      </c>
      <c r="C63">
        <v>1204.6500000000001</v>
      </c>
      <c r="D63">
        <v>1186.57</v>
      </c>
      <c r="E63">
        <v>1186.74</v>
      </c>
      <c r="F63">
        <v>26812600</v>
      </c>
      <c r="G63">
        <v>1186.74</v>
      </c>
      <c r="H63">
        <f t="shared" si="6"/>
        <v>1213.55</v>
      </c>
      <c r="I63">
        <f t="shared" si="7"/>
        <v>1163.67</v>
      </c>
      <c r="J63">
        <f t="shared" si="8"/>
        <v>46.251002405773839</v>
      </c>
      <c r="K63">
        <f t="shared" si="9"/>
        <v>70.92913545858292</v>
      </c>
      <c r="L63">
        <f t="shared" si="9"/>
        <v>80.92244114167481</v>
      </c>
    </row>
    <row r="64" spans="1:12" x14ac:dyDescent="0.25">
      <c r="A64" s="6">
        <v>41828</v>
      </c>
      <c r="B64">
        <v>1184.72</v>
      </c>
      <c r="C64">
        <v>1184.72</v>
      </c>
      <c r="D64">
        <v>1166.97</v>
      </c>
      <c r="E64">
        <v>1172.1500000000001</v>
      </c>
      <c r="F64">
        <v>33024300</v>
      </c>
      <c r="G64">
        <v>1172.1500000000001</v>
      </c>
      <c r="H64">
        <f t="shared" si="6"/>
        <v>1213.55</v>
      </c>
      <c r="I64">
        <f t="shared" si="7"/>
        <v>1166.97</v>
      </c>
      <c r="J64">
        <f t="shared" si="8"/>
        <v>11.120652640618445</v>
      </c>
      <c r="K64">
        <f t="shared" si="9"/>
        <v>49.211050630132057</v>
      </c>
      <c r="L64">
        <f t="shared" si="9"/>
        <v>68.23594000454618</v>
      </c>
    </row>
    <row r="65" spans="1:12" x14ac:dyDescent="0.25">
      <c r="A65" s="6">
        <v>41829</v>
      </c>
      <c r="B65">
        <v>1174.8699999999999</v>
      </c>
      <c r="C65">
        <v>1177.3699999999999</v>
      </c>
      <c r="D65">
        <v>1170.1300000000001</v>
      </c>
      <c r="E65">
        <v>1173.81</v>
      </c>
      <c r="F65">
        <v>28588000</v>
      </c>
      <c r="G65">
        <v>1173.81</v>
      </c>
      <c r="H65">
        <f t="shared" si="6"/>
        <v>1213.55</v>
      </c>
      <c r="I65">
        <f t="shared" si="7"/>
        <v>1166.97</v>
      </c>
      <c r="J65">
        <f t="shared" si="8"/>
        <v>14.684413911549868</v>
      </c>
      <c r="K65">
        <f t="shared" si="9"/>
        <v>24.018689652647385</v>
      </c>
      <c r="L65">
        <f t="shared" si="9"/>
        <v>48.052958580454124</v>
      </c>
    </row>
    <row r="66" spans="1:12" x14ac:dyDescent="0.25">
      <c r="A66" s="6">
        <v>41830</v>
      </c>
      <c r="B66">
        <v>1158.5899999999999</v>
      </c>
      <c r="C66">
        <v>1168.22</v>
      </c>
      <c r="D66">
        <v>1151.1199999999999</v>
      </c>
      <c r="E66">
        <v>1161.8599999999999</v>
      </c>
      <c r="F66">
        <v>31656900</v>
      </c>
      <c r="G66">
        <v>1161.8599999999999</v>
      </c>
      <c r="H66">
        <f t="shared" si="6"/>
        <v>1213.55</v>
      </c>
      <c r="I66">
        <f t="shared" si="7"/>
        <v>1151.1199999999999</v>
      </c>
      <c r="J66">
        <f t="shared" si="8"/>
        <v>17.203267659778952</v>
      </c>
      <c r="K66">
        <f t="shared" si="9"/>
        <v>14.336111403982422</v>
      </c>
      <c r="L66">
        <f t="shared" si="9"/>
        <v>29.188617228920624</v>
      </c>
    </row>
    <row r="67" spans="1:12" x14ac:dyDescent="0.25">
      <c r="A67" s="6">
        <v>41831</v>
      </c>
      <c r="B67">
        <v>1160.1199999999999</v>
      </c>
      <c r="C67">
        <v>1161.76</v>
      </c>
      <c r="D67">
        <v>1155.2</v>
      </c>
      <c r="E67">
        <v>1159.93</v>
      </c>
      <c r="F67">
        <v>26846300</v>
      </c>
      <c r="G67">
        <v>1159.93</v>
      </c>
      <c r="H67">
        <f t="shared" si="6"/>
        <v>1213.55</v>
      </c>
      <c r="I67">
        <f t="shared" si="7"/>
        <v>1151.1199999999999</v>
      </c>
      <c r="J67">
        <f t="shared" si="8"/>
        <v>14.111805221848734</v>
      </c>
      <c r="K67">
        <f t="shared" si="9"/>
        <v>15.333162264392518</v>
      </c>
      <c r="L67">
        <f t="shared" si="9"/>
        <v>17.895987773674111</v>
      </c>
    </row>
    <row r="68" spans="1:12" x14ac:dyDescent="0.25">
      <c r="A68" s="6">
        <v>41834</v>
      </c>
      <c r="B68">
        <v>1168</v>
      </c>
      <c r="C68">
        <v>1169.55</v>
      </c>
      <c r="D68">
        <v>1163.8499999999999</v>
      </c>
      <c r="E68">
        <v>1167.21</v>
      </c>
      <c r="F68">
        <v>27449200</v>
      </c>
      <c r="G68">
        <v>1167.21</v>
      </c>
      <c r="H68">
        <f t="shared" si="6"/>
        <v>1213.55</v>
      </c>
      <c r="I68">
        <f t="shared" si="7"/>
        <v>1151.1199999999999</v>
      </c>
      <c r="J68">
        <f t="shared" si="8"/>
        <v>25.772865609482825</v>
      </c>
      <c r="K68">
        <f t="shared" si="9"/>
        <v>19.02931283037017</v>
      </c>
      <c r="L68">
        <f t="shared" si="9"/>
        <v>16.232862166248371</v>
      </c>
    </row>
    <row r="69" spans="1:12" x14ac:dyDescent="0.25">
      <c r="A69" s="6">
        <v>41835</v>
      </c>
      <c r="B69">
        <v>1165.54</v>
      </c>
      <c r="C69">
        <v>1167.45</v>
      </c>
      <c r="D69">
        <v>1148.73</v>
      </c>
      <c r="E69">
        <v>1153.81</v>
      </c>
      <c r="F69">
        <v>33287400</v>
      </c>
      <c r="G69">
        <v>1153.81</v>
      </c>
      <c r="H69">
        <f t="shared" si="6"/>
        <v>1213.55</v>
      </c>
      <c r="I69">
        <f t="shared" si="7"/>
        <v>1148.73</v>
      </c>
      <c r="J69">
        <f t="shared" si="8"/>
        <v>7.8370873187286829</v>
      </c>
      <c r="K69">
        <f t="shared" si="9"/>
        <v>15.907252716686749</v>
      </c>
      <c r="L69">
        <f t="shared" si="9"/>
        <v>16.756575937149812</v>
      </c>
    </row>
    <row r="70" spans="1:12" x14ac:dyDescent="0.25">
      <c r="A70" s="6">
        <v>41836</v>
      </c>
      <c r="B70">
        <v>1159.3</v>
      </c>
      <c r="C70">
        <v>1159.96</v>
      </c>
      <c r="D70">
        <v>1148.18</v>
      </c>
      <c r="E70">
        <v>1151.55</v>
      </c>
      <c r="F70">
        <v>33909500</v>
      </c>
      <c r="G70">
        <v>1151.55</v>
      </c>
      <c r="H70">
        <f t="shared" si="6"/>
        <v>1213.55</v>
      </c>
      <c r="I70">
        <f t="shared" si="7"/>
        <v>1148.18</v>
      </c>
      <c r="J70">
        <f t="shared" si="8"/>
        <v>5.1552700015295949</v>
      </c>
      <c r="K70">
        <f t="shared" si="9"/>
        <v>12.921740976580367</v>
      </c>
      <c r="L70">
        <f t="shared" si="9"/>
        <v>15.952768841212427</v>
      </c>
    </row>
    <row r="71" spans="1:12" x14ac:dyDescent="0.25">
      <c r="A71" s="6">
        <v>41837</v>
      </c>
      <c r="B71">
        <v>1146.96</v>
      </c>
      <c r="C71">
        <v>1150.48</v>
      </c>
      <c r="D71">
        <v>1131.42</v>
      </c>
      <c r="E71">
        <v>1133.5999999999999</v>
      </c>
      <c r="F71">
        <v>33816800</v>
      </c>
      <c r="G71">
        <v>1133.5999999999999</v>
      </c>
      <c r="H71">
        <f t="shared" si="6"/>
        <v>1213.55</v>
      </c>
      <c r="I71">
        <f t="shared" si="7"/>
        <v>1131.42</v>
      </c>
      <c r="J71">
        <f t="shared" si="8"/>
        <v>2.6543285035916711</v>
      </c>
      <c r="K71">
        <f t="shared" si="9"/>
        <v>5.2155619412833163</v>
      </c>
      <c r="L71">
        <f t="shared" si="9"/>
        <v>11.348185211516812</v>
      </c>
    </row>
    <row r="72" spans="1:12" x14ac:dyDescent="0.25">
      <c r="A72" s="6">
        <v>41838</v>
      </c>
      <c r="B72">
        <v>1131.92</v>
      </c>
      <c r="C72">
        <v>1152.02</v>
      </c>
      <c r="D72">
        <v>1131.83</v>
      </c>
      <c r="E72">
        <v>1151.6099999999999</v>
      </c>
      <c r="F72">
        <v>31060600</v>
      </c>
      <c r="G72">
        <v>1151.6099999999999</v>
      </c>
      <c r="H72">
        <f t="shared" si="6"/>
        <v>1213.55</v>
      </c>
      <c r="I72">
        <f t="shared" si="7"/>
        <v>1131.42</v>
      </c>
      <c r="J72">
        <f t="shared" si="8"/>
        <v>24.582978205284132</v>
      </c>
      <c r="K72">
        <f t="shared" si="9"/>
        <v>10.797525570135134</v>
      </c>
      <c r="L72">
        <f t="shared" si="9"/>
        <v>9.6449428293329387</v>
      </c>
    </row>
    <row r="73" spans="1:12" x14ac:dyDescent="0.25">
      <c r="A73" s="6">
        <v>41841</v>
      </c>
      <c r="B73">
        <v>1146.3900000000001</v>
      </c>
      <c r="C73">
        <v>1148.08</v>
      </c>
      <c r="D73">
        <v>1140.05</v>
      </c>
      <c r="E73">
        <v>1146.6600000000001</v>
      </c>
      <c r="F73">
        <v>26111600</v>
      </c>
      <c r="G73">
        <v>1146.6600000000001</v>
      </c>
      <c r="H73">
        <f t="shared" si="6"/>
        <v>1213.55</v>
      </c>
      <c r="I73">
        <f t="shared" si="7"/>
        <v>1131.42</v>
      </c>
      <c r="J73">
        <f t="shared" si="8"/>
        <v>18.555947887495471</v>
      </c>
      <c r="K73">
        <f t="shared" si="9"/>
        <v>15.264418198790423</v>
      </c>
      <c r="L73">
        <f t="shared" si="9"/>
        <v>10.425835236736292</v>
      </c>
    </row>
    <row r="74" spans="1:12" x14ac:dyDescent="0.25">
      <c r="A74" s="6">
        <v>41842</v>
      </c>
      <c r="B74">
        <v>1151.46</v>
      </c>
      <c r="C74">
        <v>1160.24</v>
      </c>
      <c r="D74">
        <v>1151.46</v>
      </c>
      <c r="E74">
        <v>1156.1500000000001</v>
      </c>
      <c r="F74">
        <v>28904800</v>
      </c>
      <c r="G74">
        <v>1156.1500000000001</v>
      </c>
      <c r="H74">
        <f t="shared" si="6"/>
        <v>1208.1500000000001</v>
      </c>
      <c r="I74">
        <f t="shared" si="7"/>
        <v>1131.42</v>
      </c>
      <c r="J74">
        <f t="shared" si="8"/>
        <v>32.229897041574368</v>
      </c>
      <c r="K74">
        <f t="shared" si="9"/>
        <v>25.122941044784653</v>
      </c>
      <c r="L74">
        <f t="shared" si="9"/>
        <v>17.061628271236739</v>
      </c>
    </row>
    <row r="75" spans="1:12" x14ac:dyDescent="0.25">
      <c r="A75" s="6">
        <v>41843</v>
      </c>
      <c r="B75">
        <v>1157.44</v>
      </c>
      <c r="C75">
        <v>1161.99</v>
      </c>
      <c r="D75">
        <v>1155.76</v>
      </c>
      <c r="E75">
        <v>1158.1099999999999</v>
      </c>
      <c r="F75">
        <v>28697200</v>
      </c>
      <c r="G75">
        <v>1158.1099999999999</v>
      </c>
      <c r="H75">
        <f t="shared" si="6"/>
        <v>1208.1500000000001</v>
      </c>
      <c r="I75">
        <f t="shared" si="7"/>
        <v>1131.42</v>
      </c>
      <c r="J75">
        <f t="shared" si="8"/>
        <v>34.784308614622475</v>
      </c>
      <c r="K75">
        <f t="shared" si="9"/>
        <v>28.523384514564103</v>
      </c>
      <c r="L75">
        <f t="shared" si="9"/>
        <v>22.970247919379727</v>
      </c>
    </row>
    <row r="76" spans="1:12" x14ac:dyDescent="0.25">
      <c r="A76" s="6">
        <v>41844</v>
      </c>
      <c r="B76">
        <v>1159.7</v>
      </c>
      <c r="C76">
        <v>1163.6600000000001</v>
      </c>
      <c r="D76">
        <v>1153.5899999999999</v>
      </c>
      <c r="E76">
        <v>1156.26</v>
      </c>
      <c r="F76">
        <v>32035300</v>
      </c>
      <c r="G76">
        <v>1156.26</v>
      </c>
      <c r="H76">
        <f t="shared" si="6"/>
        <v>1204.6500000000001</v>
      </c>
      <c r="I76">
        <f t="shared" si="7"/>
        <v>1131.42</v>
      </c>
      <c r="J76">
        <f t="shared" si="8"/>
        <v>33.920524375255923</v>
      </c>
      <c r="K76">
        <f t="shared" si="9"/>
        <v>33.64491001048426</v>
      </c>
      <c r="L76">
        <f t="shared" si="9"/>
        <v>29.097078523277673</v>
      </c>
    </row>
    <row r="77" spans="1:12" x14ac:dyDescent="0.25">
      <c r="A77" s="6">
        <v>41845</v>
      </c>
      <c r="B77">
        <v>1149.78</v>
      </c>
      <c r="C77">
        <v>1149.78</v>
      </c>
      <c r="D77">
        <v>1141.8399999999999</v>
      </c>
      <c r="E77">
        <v>1144.72</v>
      </c>
      <c r="F77">
        <v>26389600</v>
      </c>
      <c r="G77">
        <v>1144.72</v>
      </c>
      <c r="H77">
        <f t="shared" si="6"/>
        <v>1184.72</v>
      </c>
      <c r="I77">
        <f t="shared" si="7"/>
        <v>1131.42</v>
      </c>
      <c r="J77">
        <f t="shared" si="8"/>
        <v>24.953095684802935</v>
      </c>
      <c r="K77">
        <f t="shared" si="9"/>
        <v>31.21930955822711</v>
      </c>
      <c r="L77">
        <f t="shared" si="9"/>
        <v>31.129201361091827</v>
      </c>
    </row>
    <row r="78" spans="1:12" x14ac:dyDescent="0.25">
      <c r="A78" s="6">
        <v>41848</v>
      </c>
      <c r="B78">
        <v>1145.18</v>
      </c>
      <c r="C78">
        <v>1145.18</v>
      </c>
      <c r="D78">
        <v>1132.1600000000001</v>
      </c>
      <c r="E78">
        <v>1139.5</v>
      </c>
      <c r="F78">
        <v>28033200</v>
      </c>
      <c r="G78">
        <v>1139.5</v>
      </c>
      <c r="H78">
        <f t="shared" si="6"/>
        <v>1177.3699999999999</v>
      </c>
      <c r="I78">
        <f t="shared" si="7"/>
        <v>1131.42</v>
      </c>
      <c r="J78">
        <f t="shared" si="8"/>
        <v>17.584330794341589</v>
      </c>
      <c r="K78">
        <f t="shared" si="9"/>
        <v>25.485983618133485</v>
      </c>
      <c r="L78">
        <f t="shared" si="9"/>
        <v>30.116734395614955</v>
      </c>
    </row>
    <row r="79" spans="1:12" x14ac:dyDescent="0.25">
      <c r="A79" s="6">
        <v>41849</v>
      </c>
      <c r="B79">
        <v>1141.6500000000001</v>
      </c>
      <c r="C79">
        <v>1149.08</v>
      </c>
      <c r="D79">
        <v>1140.32</v>
      </c>
      <c r="E79">
        <v>1141.6400000000001</v>
      </c>
      <c r="F79">
        <v>31833000</v>
      </c>
      <c r="G79">
        <v>1141.6400000000001</v>
      </c>
      <c r="H79">
        <f t="shared" si="6"/>
        <v>1169.55</v>
      </c>
      <c r="I79">
        <f t="shared" si="7"/>
        <v>1131.42</v>
      </c>
      <c r="J79">
        <f t="shared" si="8"/>
        <v>26.803042223970781</v>
      </c>
      <c r="K79">
        <f t="shared" si="9"/>
        <v>23.113489567705102</v>
      </c>
      <c r="L79">
        <f t="shared" si="9"/>
        <v>26.606260914688566</v>
      </c>
    </row>
    <row r="80" spans="1:12" x14ac:dyDescent="0.25">
      <c r="A80" s="6">
        <v>41850</v>
      </c>
      <c r="B80">
        <v>1147.96</v>
      </c>
      <c r="C80">
        <v>1150.6099999999999</v>
      </c>
      <c r="D80">
        <v>1142.54</v>
      </c>
      <c r="E80">
        <v>1146.57</v>
      </c>
      <c r="F80">
        <v>34482500</v>
      </c>
      <c r="G80">
        <v>1146.57</v>
      </c>
      <c r="H80">
        <f t="shared" ref="H80:H111" si="10">MAX(C67:C80)</f>
        <v>1169.55</v>
      </c>
      <c r="I80">
        <f t="shared" ref="I80:I111" si="11">MIN(D67:D80)</f>
        <v>1131.42</v>
      </c>
      <c r="J80">
        <f t="shared" ref="J80:J111" si="12">(E80 - I80) / (H80 - I80) * 100</f>
        <v>39.732494099134307</v>
      </c>
      <c r="K80">
        <f t="shared" ref="K80:L99" si="13">AVERAGE(J78:J80)</f>
        <v>28.039955705815562</v>
      </c>
      <c r="L80">
        <f t="shared" si="13"/>
        <v>25.546476297218049</v>
      </c>
    </row>
    <row r="81" spans="1:12" x14ac:dyDescent="0.25">
      <c r="A81" s="6">
        <v>41851</v>
      </c>
      <c r="B81">
        <v>1137.26</v>
      </c>
      <c r="C81">
        <v>1137.26</v>
      </c>
      <c r="D81">
        <v>1120.06</v>
      </c>
      <c r="E81">
        <v>1120.07</v>
      </c>
      <c r="F81">
        <v>41930000</v>
      </c>
      <c r="G81">
        <v>1120.07</v>
      </c>
      <c r="H81">
        <f t="shared" si="10"/>
        <v>1169.55</v>
      </c>
      <c r="I81">
        <f t="shared" si="11"/>
        <v>1120.06</v>
      </c>
      <c r="J81">
        <f t="shared" si="12"/>
        <v>2.0206102242858969E-2</v>
      </c>
      <c r="K81">
        <f t="shared" si="13"/>
        <v>22.185247475115982</v>
      </c>
      <c r="L81">
        <f t="shared" si="13"/>
        <v>24.446230916212215</v>
      </c>
    </row>
    <row r="82" spans="1:12" x14ac:dyDescent="0.25">
      <c r="A82" s="6">
        <v>41852</v>
      </c>
      <c r="B82">
        <v>1120.54</v>
      </c>
      <c r="C82">
        <v>1123.94</v>
      </c>
      <c r="D82">
        <v>1107.31</v>
      </c>
      <c r="E82">
        <v>1114.8599999999999</v>
      </c>
      <c r="F82">
        <v>37896600</v>
      </c>
      <c r="G82">
        <v>1114.8599999999999</v>
      </c>
      <c r="H82">
        <f t="shared" si="10"/>
        <v>1167.45</v>
      </c>
      <c r="I82">
        <f t="shared" si="11"/>
        <v>1107.31</v>
      </c>
      <c r="J82">
        <f t="shared" si="12"/>
        <v>12.554040571998573</v>
      </c>
      <c r="K82">
        <f t="shared" si="13"/>
        <v>17.435580257791912</v>
      </c>
      <c r="L82">
        <f t="shared" si="13"/>
        <v>22.553594479574485</v>
      </c>
    </row>
    <row r="83" spans="1:12" x14ac:dyDescent="0.25">
      <c r="A83" s="6">
        <v>41855</v>
      </c>
      <c r="B83">
        <v>1118.46</v>
      </c>
      <c r="C83">
        <v>1125.54</v>
      </c>
      <c r="D83">
        <v>1108.27</v>
      </c>
      <c r="E83">
        <v>1124.82</v>
      </c>
      <c r="F83">
        <v>30729200</v>
      </c>
      <c r="G83">
        <v>1124.82</v>
      </c>
      <c r="H83">
        <f t="shared" si="10"/>
        <v>1163.6600000000001</v>
      </c>
      <c r="I83">
        <f t="shared" si="11"/>
        <v>1107.31</v>
      </c>
      <c r="J83">
        <f t="shared" si="12"/>
        <v>31.073646850044273</v>
      </c>
      <c r="K83">
        <f t="shared" si="13"/>
        <v>14.549297841428569</v>
      </c>
      <c r="L83">
        <f t="shared" si="13"/>
        <v>18.056708524778823</v>
      </c>
    </row>
    <row r="84" spans="1:12" x14ac:dyDescent="0.25">
      <c r="A84" s="6">
        <v>41856</v>
      </c>
      <c r="B84">
        <v>1119.69</v>
      </c>
      <c r="C84">
        <v>1129.42</v>
      </c>
      <c r="D84">
        <v>1114.8699999999999</v>
      </c>
      <c r="E84">
        <v>1121.56</v>
      </c>
      <c r="F84">
        <v>34625200</v>
      </c>
      <c r="G84">
        <v>1121.56</v>
      </c>
      <c r="H84">
        <f t="shared" si="10"/>
        <v>1163.6600000000001</v>
      </c>
      <c r="I84">
        <f t="shared" si="11"/>
        <v>1107.31</v>
      </c>
      <c r="J84">
        <f t="shared" si="12"/>
        <v>25.288376220053177</v>
      </c>
      <c r="K84">
        <f t="shared" si="13"/>
        <v>22.972021214032008</v>
      </c>
      <c r="L84">
        <f t="shared" si="13"/>
        <v>18.318966437750831</v>
      </c>
    </row>
    <row r="85" spans="1:12" x14ac:dyDescent="0.25">
      <c r="A85" s="6">
        <v>41857</v>
      </c>
      <c r="B85">
        <v>1116.08</v>
      </c>
      <c r="C85">
        <v>1131.6400000000001</v>
      </c>
      <c r="D85">
        <v>1114.29</v>
      </c>
      <c r="E85">
        <v>1125.55</v>
      </c>
      <c r="F85">
        <v>35391500</v>
      </c>
      <c r="G85">
        <v>1125.55</v>
      </c>
      <c r="H85">
        <f t="shared" si="10"/>
        <v>1163.6600000000001</v>
      </c>
      <c r="I85">
        <f t="shared" si="11"/>
        <v>1107.31</v>
      </c>
      <c r="J85">
        <f t="shared" si="12"/>
        <v>32.369121561668088</v>
      </c>
      <c r="K85">
        <f t="shared" si="13"/>
        <v>29.577048210588515</v>
      </c>
      <c r="L85">
        <f t="shared" si="13"/>
        <v>22.366122422016364</v>
      </c>
    </row>
    <row r="86" spans="1:12" x14ac:dyDescent="0.25">
      <c r="A86" s="6">
        <v>41858</v>
      </c>
      <c r="B86">
        <v>1127.97</v>
      </c>
      <c r="C86">
        <v>1131.4100000000001</v>
      </c>
      <c r="D86">
        <v>1116.43</v>
      </c>
      <c r="E86">
        <v>1119.76</v>
      </c>
      <c r="F86">
        <v>32305200</v>
      </c>
      <c r="G86">
        <v>1119.76</v>
      </c>
      <c r="H86">
        <f t="shared" si="10"/>
        <v>1163.6600000000001</v>
      </c>
      <c r="I86">
        <f t="shared" si="11"/>
        <v>1107.31</v>
      </c>
      <c r="J86">
        <f t="shared" si="12"/>
        <v>22.094055013309699</v>
      </c>
      <c r="K86">
        <f t="shared" si="13"/>
        <v>26.583850931676988</v>
      </c>
      <c r="L86">
        <f t="shared" si="13"/>
        <v>26.377640118765839</v>
      </c>
    </row>
    <row r="87" spans="1:12" x14ac:dyDescent="0.25">
      <c r="A87" s="6">
        <v>41859</v>
      </c>
      <c r="B87">
        <v>1119.8800000000001</v>
      </c>
      <c r="C87">
        <v>1131.8599999999999</v>
      </c>
      <c r="D87">
        <v>1118.49</v>
      </c>
      <c r="E87">
        <v>1131.3499999999999</v>
      </c>
      <c r="F87">
        <v>29022800</v>
      </c>
      <c r="G87">
        <v>1131.3499999999999</v>
      </c>
      <c r="H87">
        <f t="shared" si="10"/>
        <v>1163.6600000000001</v>
      </c>
      <c r="I87">
        <f t="shared" si="11"/>
        <v>1107.31</v>
      </c>
      <c r="J87">
        <f t="shared" si="12"/>
        <v>42.661934338952804</v>
      </c>
      <c r="K87">
        <f t="shared" si="13"/>
        <v>32.375036971310202</v>
      </c>
      <c r="L87">
        <f t="shared" si="13"/>
        <v>29.511978704525234</v>
      </c>
    </row>
    <row r="88" spans="1:12" x14ac:dyDescent="0.25">
      <c r="A88" s="6">
        <v>41862</v>
      </c>
      <c r="B88">
        <v>1136.48</v>
      </c>
      <c r="C88">
        <v>1148.8900000000001</v>
      </c>
      <c r="D88">
        <v>1135.24</v>
      </c>
      <c r="E88">
        <v>1141.93</v>
      </c>
      <c r="F88">
        <v>27848900</v>
      </c>
      <c r="G88">
        <v>1141.93</v>
      </c>
      <c r="H88">
        <f t="shared" si="10"/>
        <v>1163.6600000000001</v>
      </c>
      <c r="I88">
        <f t="shared" si="11"/>
        <v>1107.31</v>
      </c>
      <c r="J88">
        <f t="shared" si="12"/>
        <v>61.437444543034673</v>
      </c>
      <c r="K88">
        <f t="shared" si="13"/>
        <v>42.064477965099059</v>
      </c>
      <c r="L88">
        <f t="shared" si="13"/>
        <v>33.674455289362079</v>
      </c>
    </row>
    <row r="89" spans="1:12" x14ac:dyDescent="0.25">
      <c r="A89" s="6">
        <v>41863</v>
      </c>
      <c r="B89">
        <v>1138.6300000000001</v>
      </c>
      <c r="C89">
        <v>1141.28</v>
      </c>
      <c r="D89">
        <v>1129.1099999999999</v>
      </c>
      <c r="E89">
        <v>1133.03</v>
      </c>
      <c r="F89">
        <v>26117000</v>
      </c>
      <c r="G89">
        <v>1133.03</v>
      </c>
      <c r="H89">
        <f t="shared" si="10"/>
        <v>1163.6600000000001</v>
      </c>
      <c r="I89">
        <f t="shared" si="11"/>
        <v>1107.31</v>
      </c>
      <c r="J89">
        <f t="shared" si="12"/>
        <v>45.643300798580242</v>
      </c>
      <c r="K89">
        <f t="shared" si="13"/>
        <v>49.914226560189242</v>
      </c>
      <c r="L89">
        <f t="shared" si="13"/>
        <v>41.451247165532834</v>
      </c>
    </row>
    <row r="90" spans="1:12" x14ac:dyDescent="0.25">
      <c r="A90" s="6">
        <v>41864</v>
      </c>
      <c r="B90">
        <v>1136.17</v>
      </c>
      <c r="C90">
        <v>1143.23</v>
      </c>
      <c r="D90">
        <v>1135.6099999999999</v>
      </c>
      <c r="E90">
        <v>1141.78</v>
      </c>
      <c r="F90">
        <v>27180200</v>
      </c>
      <c r="G90">
        <v>1141.78</v>
      </c>
      <c r="H90">
        <f t="shared" si="10"/>
        <v>1150.6099999999999</v>
      </c>
      <c r="I90">
        <f t="shared" si="11"/>
        <v>1107.31</v>
      </c>
      <c r="J90">
        <f t="shared" si="12"/>
        <v>79.607390300231089</v>
      </c>
      <c r="K90">
        <f t="shared" si="13"/>
        <v>62.229378547282003</v>
      </c>
      <c r="L90">
        <f t="shared" si="13"/>
        <v>51.402694357523437</v>
      </c>
    </row>
    <row r="91" spans="1:12" x14ac:dyDescent="0.25">
      <c r="A91" s="6">
        <v>41865</v>
      </c>
      <c r="B91">
        <v>1142.1300000000001</v>
      </c>
      <c r="C91">
        <v>1144.1500000000001</v>
      </c>
      <c r="D91">
        <v>1140.82</v>
      </c>
      <c r="E91">
        <v>1143.3399999999999</v>
      </c>
      <c r="F91">
        <v>26094600</v>
      </c>
      <c r="G91">
        <v>1143.3399999999999</v>
      </c>
      <c r="H91">
        <f t="shared" si="10"/>
        <v>1150.6099999999999</v>
      </c>
      <c r="I91">
        <f t="shared" si="11"/>
        <v>1107.31</v>
      </c>
      <c r="J91">
        <f t="shared" si="12"/>
        <v>83.210161662817569</v>
      </c>
      <c r="K91">
        <f t="shared" si="13"/>
        <v>69.486950920542967</v>
      </c>
      <c r="L91">
        <f t="shared" si="13"/>
        <v>60.543518676004737</v>
      </c>
    </row>
    <row r="92" spans="1:12" x14ac:dyDescent="0.25">
      <c r="A92" s="6">
        <v>41866</v>
      </c>
      <c r="B92">
        <v>1151.31</v>
      </c>
      <c r="C92">
        <v>1151.6099999999999</v>
      </c>
      <c r="D92">
        <v>1131.83</v>
      </c>
      <c r="E92">
        <v>1141.6500000000001</v>
      </c>
      <c r="F92">
        <v>30233800</v>
      </c>
      <c r="G92">
        <v>1141.6500000000001</v>
      </c>
      <c r="H92">
        <f t="shared" si="10"/>
        <v>1151.6099999999999</v>
      </c>
      <c r="I92">
        <f t="shared" si="11"/>
        <v>1107.31</v>
      </c>
      <c r="J92">
        <f t="shared" si="12"/>
        <v>77.516930022573774</v>
      </c>
      <c r="K92">
        <f t="shared" si="13"/>
        <v>80.111493995207482</v>
      </c>
      <c r="L92">
        <f t="shared" si="13"/>
        <v>70.609274487677496</v>
      </c>
    </row>
    <row r="93" spans="1:12" x14ac:dyDescent="0.25">
      <c r="A93" s="6">
        <v>41869</v>
      </c>
      <c r="B93">
        <v>1149.4000000000001</v>
      </c>
      <c r="C93">
        <v>1158.4000000000001</v>
      </c>
      <c r="D93">
        <v>1149.4000000000001</v>
      </c>
      <c r="E93">
        <v>1158.4000000000001</v>
      </c>
      <c r="F93">
        <v>26381600</v>
      </c>
      <c r="G93">
        <v>1158.4000000000001</v>
      </c>
      <c r="H93">
        <f t="shared" si="10"/>
        <v>1158.4000000000001</v>
      </c>
      <c r="I93">
        <f t="shared" si="11"/>
        <v>1107.31</v>
      </c>
      <c r="J93">
        <f t="shared" si="12"/>
        <v>100</v>
      </c>
      <c r="K93">
        <f t="shared" si="13"/>
        <v>86.90903056179711</v>
      </c>
      <c r="L93">
        <f t="shared" si="13"/>
        <v>78.835825159182534</v>
      </c>
    </row>
    <row r="94" spans="1:12" x14ac:dyDescent="0.25">
      <c r="A94" s="6">
        <v>41870</v>
      </c>
      <c r="B94">
        <v>1159.83</v>
      </c>
      <c r="C94">
        <v>1164.06</v>
      </c>
      <c r="D94">
        <v>1159.83</v>
      </c>
      <c r="E94">
        <v>1162.47</v>
      </c>
      <c r="F94">
        <v>26564300</v>
      </c>
      <c r="G94">
        <v>1162.47</v>
      </c>
      <c r="H94">
        <f t="shared" si="10"/>
        <v>1164.06</v>
      </c>
      <c r="I94">
        <f t="shared" si="11"/>
        <v>1107.31</v>
      </c>
      <c r="J94">
        <f t="shared" si="12"/>
        <v>97.198237885462703</v>
      </c>
      <c r="K94">
        <f t="shared" si="13"/>
        <v>91.571722636012169</v>
      </c>
      <c r="L94">
        <f t="shared" si="13"/>
        <v>86.197415731005592</v>
      </c>
    </row>
    <row r="95" spans="1:12" x14ac:dyDescent="0.25">
      <c r="A95" s="6">
        <v>41871</v>
      </c>
      <c r="B95">
        <v>1158.75</v>
      </c>
      <c r="C95">
        <v>1159.22</v>
      </c>
      <c r="D95">
        <v>1152.77</v>
      </c>
      <c r="E95">
        <v>1157.51</v>
      </c>
      <c r="F95">
        <v>25793800</v>
      </c>
      <c r="G95">
        <v>1157.51</v>
      </c>
      <c r="H95">
        <f t="shared" si="10"/>
        <v>1164.06</v>
      </c>
      <c r="I95">
        <f t="shared" si="11"/>
        <v>1107.31</v>
      </c>
      <c r="J95">
        <f t="shared" si="12"/>
        <v>88.458149779735763</v>
      </c>
      <c r="K95">
        <f t="shared" si="13"/>
        <v>95.218795888399484</v>
      </c>
      <c r="L95">
        <f t="shared" si="13"/>
        <v>91.233183028736264</v>
      </c>
    </row>
    <row r="96" spans="1:12" x14ac:dyDescent="0.25">
      <c r="A96" s="6">
        <v>41872</v>
      </c>
      <c r="B96">
        <v>1157.22</v>
      </c>
      <c r="C96">
        <v>1160.97</v>
      </c>
      <c r="D96">
        <v>1147.45</v>
      </c>
      <c r="E96">
        <v>1160.03</v>
      </c>
      <c r="F96">
        <v>26389200</v>
      </c>
      <c r="G96">
        <v>1160.03</v>
      </c>
      <c r="H96">
        <f t="shared" si="10"/>
        <v>1164.06</v>
      </c>
      <c r="I96">
        <f t="shared" si="11"/>
        <v>1108.27</v>
      </c>
      <c r="J96">
        <f t="shared" si="12"/>
        <v>92.77648324072419</v>
      </c>
      <c r="K96">
        <f t="shared" si="13"/>
        <v>92.81095696864088</v>
      </c>
      <c r="L96">
        <f t="shared" si="13"/>
        <v>93.200491831017516</v>
      </c>
    </row>
    <row r="97" spans="1:12" x14ac:dyDescent="0.25">
      <c r="A97" s="6">
        <v>41873</v>
      </c>
      <c r="B97">
        <v>1159.3800000000001</v>
      </c>
      <c r="C97">
        <v>1163.22</v>
      </c>
      <c r="D97">
        <v>1154.96</v>
      </c>
      <c r="E97">
        <v>1160.3399999999999</v>
      </c>
      <c r="F97">
        <v>23018600</v>
      </c>
      <c r="G97">
        <v>1160.3399999999999</v>
      </c>
      <c r="H97">
        <f t="shared" si="10"/>
        <v>1164.06</v>
      </c>
      <c r="I97">
        <f t="shared" si="11"/>
        <v>1114.29</v>
      </c>
      <c r="J97">
        <f t="shared" si="12"/>
        <v>92.525617842073487</v>
      </c>
      <c r="K97">
        <f t="shared" si="13"/>
        <v>91.253416954177808</v>
      </c>
      <c r="L97">
        <f t="shared" si="13"/>
        <v>93.094389937072719</v>
      </c>
    </row>
    <row r="98" spans="1:12" x14ac:dyDescent="0.25">
      <c r="A98" s="6">
        <v>41876</v>
      </c>
      <c r="B98">
        <v>1167.1300000000001</v>
      </c>
      <c r="C98">
        <v>1170.69</v>
      </c>
      <c r="D98">
        <v>1161.8</v>
      </c>
      <c r="E98">
        <v>1165.22</v>
      </c>
      <c r="F98">
        <v>22338800</v>
      </c>
      <c r="G98">
        <v>1165.22</v>
      </c>
      <c r="H98">
        <f t="shared" si="10"/>
        <v>1170.69</v>
      </c>
      <c r="I98">
        <f t="shared" si="11"/>
        <v>1114.29</v>
      </c>
      <c r="J98">
        <f t="shared" si="12"/>
        <v>90.301418439716272</v>
      </c>
      <c r="K98">
        <f t="shared" si="13"/>
        <v>91.867839840837973</v>
      </c>
      <c r="L98">
        <f t="shared" si="13"/>
        <v>91.977404587885545</v>
      </c>
    </row>
    <row r="99" spans="1:12" x14ac:dyDescent="0.25">
      <c r="A99" s="6">
        <v>41877</v>
      </c>
      <c r="B99">
        <v>1166.19</v>
      </c>
      <c r="C99">
        <v>1176.1199999999999</v>
      </c>
      <c r="D99">
        <v>1166.19</v>
      </c>
      <c r="E99">
        <v>1175.17</v>
      </c>
      <c r="F99">
        <v>24519500</v>
      </c>
      <c r="G99">
        <v>1175.17</v>
      </c>
      <c r="H99">
        <f t="shared" si="10"/>
        <v>1176.1199999999999</v>
      </c>
      <c r="I99">
        <f t="shared" si="11"/>
        <v>1116.43</v>
      </c>
      <c r="J99">
        <f t="shared" si="12"/>
        <v>98.408443625398192</v>
      </c>
      <c r="K99">
        <f t="shared" si="13"/>
        <v>93.745159969062641</v>
      </c>
      <c r="L99">
        <f t="shared" si="13"/>
        <v>92.288805588026136</v>
      </c>
    </row>
    <row r="100" spans="1:12" x14ac:dyDescent="0.25">
      <c r="A100" s="6">
        <v>41878</v>
      </c>
      <c r="B100">
        <v>1176.4000000000001</v>
      </c>
      <c r="C100">
        <v>1177.07</v>
      </c>
      <c r="D100">
        <v>1171.1400000000001</v>
      </c>
      <c r="E100">
        <v>1172.71</v>
      </c>
      <c r="F100">
        <v>23443500</v>
      </c>
      <c r="G100">
        <v>1172.71</v>
      </c>
      <c r="H100">
        <f t="shared" si="10"/>
        <v>1177.07</v>
      </c>
      <c r="I100">
        <f t="shared" si="11"/>
        <v>1118.49</v>
      </c>
      <c r="J100">
        <f t="shared" si="12"/>
        <v>92.557186753158234</v>
      </c>
      <c r="K100">
        <f t="shared" ref="K100:L119" si="14">AVERAGE(J98:J100)</f>
        <v>93.755682939424233</v>
      </c>
      <c r="L100">
        <f t="shared" si="14"/>
        <v>93.122894249774944</v>
      </c>
    </row>
    <row r="101" spans="1:12" x14ac:dyDescent="0.25">
      <c r="A101" s="6">
        <v>41879</v>
      </c>
      <c r="B101">
        <v>1168.26</v>
      </c>
      <c r="C101">
        <v>1169.0899999999999</v>
      </c>
      <c r="D101">
        <v>1164.1099999999999</v>
      </c>
      <c r="E101">
        <v>1165.95</v>
      </c>
      <c r="F101">
        <v>22824000</v>
      </c>
      <c r="G101">
        <v>1165.95</v>
      </c>
      <c r="H101">
        <f t="shared" si="10"/>
        <v>1177.07</v>
      </c>
      <c r="I101">
        <f t="shared" si="11"/>
        <v>1129.1099999999999</v>
      </c>
      <c r="J101">
        <f t="shared" si="12"/>
        <v>76.814011676397243</v>
      </c>
      <c r="K101">
        <f t="shared" si="14"/>
        <v>89.259880684984566</v>
      </c>
      <c r="L101">
        <f t="shared" si="14"/>
        <v>92.253574531157142</v>
      </c>
    </row>
    <row r="102" spans="1:12" x14ac:dyDescent="0.25">
      <c r="A102" s="6">
        <v>41880</v>
      </c>
      <c r="B102">
        <v>1167.5899999999999</v>
      </c>
      <c r="C102">
        <v>1174.82</v>
      </c>
      <c r="D102">
        <v>1164.78</v>
      </c>
      <c r="E102">
        <v>1174.3499999999999</v>
      </c>
      <c r="F102">
        <v>22591300</v>
      </c>
      <c r="G102">
        <v>1174.3499999999999</v>
      </c>
      <c r="H102">
        <f t="shared" si="10"/>
        <v>1177.07</v>
      </c>
      <c r="I102">
        <f t="shared" si="11"/>
        <v>1129.1099999999999</v>
      </c>
      <c r="J102">
        <f t="shared" si="12"/>
        <v>94.328607172643814</v>
      </c>
      <c r="K102">
        <f t="shared" si="14"/>
        <v>87.899935200733083</v>
      </c>
      <c r="L102">
        <f t="shared" si="14"/>
        <v>90.305166275047284</v>
      </c>
    </row>
    <row r="103" spans="1:12" x14ac:dyDescent="0.25">
      <c r="A103" s="6">
        <v>41884</v>
      </c>
      <c r="B103">
        <v>1177.29</v>
      </c>
      <c r="C103">
        <v>1181.3699999999999</v>
      </c>
      <c r="D103">
        <v>1173.06</v>
      </c>
      <c r="E103">
        <v>1179.47</v>
      </c>
      <c r="F103">
        <v>28199800</v>
      </c>
      <c r="G103">
        <v>1179.47</v>
      </c>
      <c r="H103">
        <f t="shared" si="10"/>
        <v>1181.3699999999999</v>
      </c>
      <c r="I103">
        <f t="shared" si="11"/>
        <v>1131.83</v>
      </c>
      <c r="J103">
        <f t="shared" si="12"/>
        <v>96.164715381510163</v>
      </c>
      <c r="K103">
        <f t="shared" si="14"/>
        <v>89.102444743517083</v>
      </c>
      <c r="L103">
        <f t="shared" si="14"/>
        <v>88.754086876411577</v>
      </c>
    </row>
    <row r="104" spans="1:12" x14ac:dyDescent="0.25">
      <c r="A104" s="6">
        <v>41885</v>
      </c>
      <c r="B104">
        <v>1183.29</v>
      </c>
      <c r="C104">
        <v>1183.8499999999999</v>
      </c>
      <c r="D104">
        <v>1170.8399999999999</v>
      </c>
      <c r="E104">
        <v>1172.2</v>
      </c>
      <c r="F104">
        <v>28099800</v>
      </c>
      <c r="G104">
        <v>1172.2</v>
      </c>
      <c r="H104">
        <f t="shared" si="10"/>
        <v>1183.8499999999999</v>
      </c>
      <c r="I104">
        <f t="shared" si="11"/>
        <v>1131.83</v>
      </c>
      <c r="J104">
        <f t="shared" si="12"/>
        <v>77.6047673971552</v>
      </c>
      <c r="K104">
        <f t="shared" si="14"/>
        <v>89.366029983769707</v>
      </c>
      <c r="L104">
        <f t="shared" si="14"/>
        <v>88.789469976006615</v>
      </c>
    </row>
    <row r="105" spans="1:12" x14ac:dyDescent="0.25">
      <c r="A105" s="6">
        <v>41886</v>
      </c>
      <c r="B105">
        <v>1174.17</v>
      </c>
      <c r="C105">
        <v>1180.68</v>
      </c>
      <c r="D105">
        <v>1165.27</v>
      </c>
      <c r="E105">
        <v>1167.21</v>
      </c>
      <c r="F105">
        <v>30724100</v>
      </c>
      <c r="G105">
        <v>1167.21</v>
      </c>
      <c r="H105">
        <f t="shared" si="10"/>
        <v>1183.8499999999999</v>
      </c>
      <c r="I105">
        <f t="shared" si="11"/>
        <v>1131.83</v>
      </c>
      <c r="J105">
        <f t="shared" si="12"/>
        <v>68.012302960400078</v>
      </c>
      <c r="K105">
        <f t="shared" si="14"/>
        <v>80.593928579688466</v>
      </c>
      <c r="L105">
        <f t="shared" si="14"/>
        <v>86.354134435658409</v>
      </c>
    </row>
    <row r="106" spans="1:12" x14ac:dyDescent="0.25">
      <c r="A106" s="6">
        <v>41887</v>
      </c>
      <c r="B106">
        <v>1164.3399999999999</v>
      </c>
      <c r="C106">
        <v>1170.3699999999999</v>
      </c>
      <c r="D106">
        <v>1160.02</v>
      </c>
      <c r="E106">
        <v>1170.1300000000001</v>
      </c>
      <c r="F106">
        <v>28183000</v>
      </c>
      <c r="G106">
        <v>1170.1300000000001</v>
      </c>
      <c r="H106">
        <f t="shared" si="10"/>
        <v>1183.8499999999999</v>
      </c>
      <c r="I106">
        <f t="shared" si="11"/>
        <v>1147.45</v>
      </c>
      <c r="J106">
        <f t="shared" si="12"/>
        <v>62.307692307692719</v>
      </c>
      <c r="K106">
        <f t="shared" si="14"/>
        <v>69.308254221749337</v>
      </c>
      <c r="L106">
        <f t="shared" si="14"/>
        <v>79.756070928402508</v>
      </c>
    </row>
    <row r="107" spans="1:12" x14ac:dyDescent="0.25">
      <c r="A107" s="6">
        <v>41890</v>
      </c>
      <c r="B107">
        <v>1169.32</v>
      </c>
      <c r="C107">
        <v>1174.22</v>
      </c>
      <c r="D107">
        <v>1166.1199999999999</v>
      </c>
      <c r="E107">
        <v>1172.31</v>
      </c>
      <c r="F107">
        <v>27890900</v>
      </c>
      <c r="G107">
        <v>1172.31</v>
      </c>
      <c r="H107">
        <f t="shared" si="10"/>
        <v>1183.8499999999999</v>
      </c>
      <c r="I107">
        <f t="shared" si="11"/>
        <v>1147.45</v>
      </c>
      <c r="J107">
        <f t="shared" si="12"/>
        <v>68.296703296703271</v>
      </c>
      <c r="K107">
        <f t="shared" si="14"/>
        <v>66.205566188265351</v>
      </c>
      <c r="L107">
        <f t="shared" si="14"/>
        <v>72.035916329901042</v>
      </c>
    </row>
    <row r="108" spans="1:12" x14ac:dyDescent="0.25">
      <c r="A108" s="6">
        <v>41891</v>
      </c>
      <c r="B108">
        <v>1170.94</v>
      </c>
      <c r="C108">
        <v>1171.24</v>
      </c>
      <c r="D108">
        <v>1157.8499999999999</v>
      </c>
      <c r="E108">
        <v>1158.5</v>
      </c>
      <c r="F108">
        <v>28828300</v>
      </c>
      <c r="G108">
        <v>1158.5</v>
      </c>
      <c r="H108">
        <f t="shared" si="10"/>
        <v>1183.8499999999999</v>
      </c>
      <c r="I108">
        <f t="shared" si="11"/>
        <v>1147.45</v>
      </c>
      <c r="J108">
        <f t="shared" si="12"/>
        <v>30.357142857142843</v>
      </c>
      <c r="K108">
        <f t="shared" si="14"/>
        <v>53.653846153846274</v>
      </c>
      <c r="L108">
        <f t="shared" si="14"/>
        <v>63.055888854620321</v>
      </c>
    </row>
    <row r="109" spans="1:12" x14ac:dyDescent="0.25">
      <c r="A109" s="6">
        <v>41892</v>
      </c>
      <c r="B109">
        <v>1158.77</v>
      </c>
      <c r="C109">
        <v>1165.1099999999999</v>
      </c>
      <c r="D109">
        <v>1155.1099999999999</v>
      </c>
      <c r="E109">
        <v>1164.99</v>
      </c>
      <c r="F109">
        <v>29124400</v>
      </c>
      <c r="G109">
        <v>1164.99</v>
      </c>
      <c r="H109">
        <f t="shared" si="10"/>
        <v>1183.8499999999999</v>
      </c>
      <c r="I109">
        <f t="shared" si="11"/>
        <v>1147.45</v>
      </c>
      <c r="J109">
        <f t="shared" si="12"/>
        <v>48.186813186813268</v>
      </c>
      <c r="K109">
        <f t="shared" si="14"/>
        <v>48.94688644688646</v>
      </c>
      <c r="L109">
        <f t="shared" si="14"/>
        <v>56.268766262999357</v>
      </c>
    </row>
    <row r="110" spans="1:12" x14ac:dyDescent="0.25">
      <c r="A110" s="6">
        <v>41893</v>
      </c>
      <c r="B110">
        <v>1159.5</v>
      </c>
      <c r="C110">
        <v>1172.6500000000001</v>
      </c>
      <c r="D110">
        <v>1158.5999999999999</v>
      </c>
      <c r="E110">
        <v>1172.3399999999999</v>
      </c>
      <c r="F110">
        <v>29416900</v>
      </c>
      <c r="G110">
        <v>1172.3399999999999</v>
      </c>
      <c r="H110">
        <f t="shared" si="10"/>
        <v>1183.8499999999999</v>
      </c>
      <c r="I110">
        <f t="shared" si="11"/>
        <v>1154.96</v>
      </c>
      <c r="J110">
        <f t="shared" si="12"/>
        <v>60.159224645205811</v>
      </c>
      <c r="K110">
        <f t="shared" si="14"/>
        <v>46.23439356305397</v>
      </c>
      <c r="L110">
        <f t="shared" si="14"/>
        <v>49.611708721262232</v>
      </c>
    </row>
    <row r="111" spans="1:12" x14ac:dyDescent="0.25">
      <c r="A111" s="6">
        <v>41894</v>
      </c>
      <c r="B111">
        <v>1172.93</v>
      </c>
      <c r="C111">
        <v>1172.95</v>
      </c>
      <c r="D111">
        <v>1157.44</v>
      </c>
      <c r="E111">
        <v>1160.6099999999999</v>
      </c>
      <c r="F111">
        <v>32071200</v>
      </c>
      <c r="G111">
        <v>1160.6099999999999</v>
      </c>
      <c r="H111">
        <f t="shared" si="10"/>
        <v>1183.8499999999999</v>
      </c>
      <c r="I111">
        <f t="shared" si="11"/>
        <v>1155.1099999999999</v>
      </c>
      <c r="J111">
        <f t="shared" si="12"/>
        <v>19.137091162143349</v>
      </c>
      <c r="K111">
        <f t="shared" si="14"/>
        <v>42.494376331387478</v>
      </c>
      <c r="L111">
        <f t="shared" si="14"/>
        <v>45.891885447109303</v>
      </c>
    </row>
    <row r="112" spans="1:12" x14ac:dyDescent="0.25">
      <c r="A112" s="6">
        <v>41897</v>
      </c>
      <c r="B112">
        <v>1159.98</v>
      </c>
      <c r="C112">
        <v>1160.06</v>
      </c>
      <c r="D112">
        <v>1144.4100000000001</v>
      </c>
      <c r="E112">
        <v>1146.52</v>
      </c>
      <c r="F112">
        <v>27765300</v>
      </c>
      <c r="G112">
        <v>1146.52</v>
      </c>
      <c r="H112">
        <f t="shared" ref="H112:H126" si="15">MAX(C99:C112)</f>
        <v>1183.8499999999999</v>
      </c>
      <c r="I112">
        <f t="shared" ref="I112:I126" si="16">MIN(D99:D112)</f>
        <v>1144.4100000000001</v>
      </c>
      <c r="J112">
        <f t="shared" ref="J112:J126" si="17">(E112 - I112) / (H112 - I112) * 100</f>
        <v>5.349898580121474</v>
      </c>
      <c r="K112">
        <f t="shared" si="14"/>
        <v>28.215404795823545</v>
      </c>
      <c r="L112">
        <f t="shared" si="14"/>
        <v>38.981391563421667</v>
      </c>
    </row>
    <row r="113" spans="1:12" x14ac:dyDescent="0.25">
      <c r="A113" s="6">
        <v>41898</v>
      </c>
      <c r="B113">
        <v>1144.25</v>
      </c>
      <c r="C113">
        <v>1152.8599999999999</v>
      </c>
      <c r="D113">
        <v>1141.45</v>
      </c>
      <c r="E113">
        <v>1150.97</v>
      </c>
      <c r="F113">
        <v>31603200</v>
      </c>
      <c r="G113">
        <v>1150.97</v>
      </c>
      <c r="H113">
        <f t="shared" si="15"/>
        <v>1183.8499999999999</v>
      </c>
      <c r="I113">
        <f t="shared" si="16"/>
        <v>1141.45</v>
      </c>
      <c r="J113">
        <f t="shared" si="17"/>
        <v>22.452830188679272</v>
      </c>
      <c r="K113">
        <f t="shared" si="14"/>
        <v>15.646606643648033</v>
      </c>
      <c r="L113">
        <f t="shared" si="14"/>
        <v>28.785462590286347</v>
      </c>
    </row>
    <row r="114" spans="1:12" x14ac:dyDescent="0.25">
      <c r="A114" s="6">
        <v>41899</v>
      </c>
      <c r="B114">
        <v>1151.96</v>
      </c>
      <c r="C114">
        <v>1159.8499999999999</v>
      </c>
      <c r="D114">
        <v>1149.93</v>
      </c>
      <c r="E114">
        <v>1153.8900000000001</v>
      </c>
      <c r="F114">
        <v>32094300</v>
      </c>
      <c r="G114">
        <v>1153.8900000000001</v>
      </c>
      <c r="H114">
        <f t="shared" si="15"/>
        <v>1183.8499999999999</v>
      </c>
      <c r="I114">
        <f t="shared" si="16"/>
        <v>1141.45</v>
      </c>
      <c r="J114">
        <f t="shared" si="17"/>
        <v>29.339622641509656</v>
      </c>
      <c r="K114">
        <f t="shared" si="14"/>
        <v>19.047450470103467</v>
      </c>
      <c r="L114">
        <f t="shared" si="14"/>
        <v>20.969820636525014</v>
      </c>
    </row>
    <row r="115" spans="1:12" x14ac:dyDescent="0.25">
      <c r="A115" s="6">
        <v>41900</v>
      </c>
      <c r="B115">
        <v>1157.08</v>
      </c>
      <c r="C115">
        <v>1160.3</v>
      </c>
      <c r="D115">
        <v>1156.07</v>
      </c>
      <c r="E115">
        <v>1159.27</v>
      </c>
      <c r="F115">
        <v>32353400</v>
      </c>
      <c r="G115">
        <v>1159.27</v>
      </c>
      <c r="H115">
        <f t="shared" si="15"/>
        <v>1183.8499999999999</v>
      </c>
      <c r="I115">
        <f t="shared" si="16"/>
        <v>1141.45</v>
      </c>
      <c r="J115">
        <f t="shared" si="17"/>
        <v>42.028301886792434</v>
      </c>
      <c r="K115">
        <f t="shared" si="14"/>
        <v>31.273584905660453</v>
      </c>
      <c r="L115">
        <f t="shared" si="14"/>
        <v>21.98921400647065</v>
      </c>
    </row>
    <row r="116" spans="1:12" x14ac:dyDescent="0.25">
      <c r="A116" s="6">
        <v>41901</v>
      </c>
      <c r="B116">
        <v>1161.6500000000001</v>
      </c>
      <c r="C116">
        <v>1163.8599999999999</v>
      </c>
      <c r="D116">
        <v>1143.47</v>
      </c>
      <c r="E116">
        <v>1146.92</v>
      </c>
      <c r="F116">
        <v>46802200</v>
      </c>
      <c r="G116">
        <v>1146.92</v>
      </c>
      <c r="H116">
        <f t="shared" si="15"/>
        <v>1183.8499999999999</v>
      </c>
      <c r="I116">
        <f t="shared" si="16"/>
        <v>1141.45</v>
      </c>
      <c r="J116">
        <f t="shared" si="17"/>
        <v>12.900943396226522</v>
      </c>
      <c r="K116">
        <f t="shared" si="14"/>
        <v>28.089622641509539</v>
      </c>
      <c r="L116">
        <f t="shared" si="14"/>
        <v>26.13688600575782</v>
      </c>
    </row>
    <row r="117" spans="1:12" x14ac:dyDescent="0.25">
      <c r="A117" s="6">
        <v>41904</v>
      </c>
      <c r="B117">
        <v>1141.99</v>
      </c>
      <c r="C117">
        <v>1141.99</v>
      </c>
      <c r="D117">
        <v>1127.42</v>
      </c>
      <c r="E117">
        <v>1129.3599999999999</v>
      </c>
      <c r="F117">
        <v>33496800</v>
      </c>
      <c r="G117">
        <v>1129.3599999999999</v>
      </c>
      <c r="H117">
        <f t="shared" si="15"/>
        <v>1183.8499999999999</v>
      </c>
      <c r="I117">
        <f t="shared" si="16"/>
        <v>1127.42</v>
      </c>
      <c r="J117">
        <f t="shared" si="17"/>
        <v>3.4378876484136676</v>
      </c>
      <c r="K117">
        <f t="shared" si="14"/>
        <v>19.455710977144207</v>
      </c>
      <c r="L117">
        <f t="shared" si="14"/>
        <v>26.272972841438065</v>
      </c>
    </row>
    <row r="118" spans="1:12" x14ac:dyDescent="0.25">
      <c r="A118" s="6">
        <v>41905</v>
      </c>
      <c r="B118">
        <v>1126.51</v>
      </c>
      <c r="C118">
        <v>1131.6300000000001</v>
      </c>
      <c r="D118">
        <v>1118.72</v>
      </c>
      <c r="E118">
        <v>1118.72</v>
      </c>
      <c r="F118">
        <v>32793600</v>
      </c>
      <c r="G118">
        <v>1118.72</v>
      </c>
      <c r="H118">
        <f t="shared" si="15"/>
        <v>1180.68</v>
      </c>
      <c r="I118">
        <f t="shared" si="16"/>
        <v>1118.72</v>
      </c>
      <c r="J118">
        <f t="shared" si="17"/>
        <v>0</v>
      </c>
      <c r="K118">
        <f t="shared" si="14"/>
        <v>5.4462770148800628</v>
      </c>
      <c r="L118">
        <f t="shared" si="14"/>
        <v>17.663870211177933</v>
      </c>
    </row>
    <row r="119" spans="1:12" x14ac:dyDescent="0.25">
      <c r="A119" s="6">
        <v>41906</v>
      </c>
      <c r="B119">
        <v>1120.6600000000001</v>
      </c>
      <c r="C119">
        <v>1129.5899999999999</v>
      </c>
      <c r="D119">
        <v>1116.1300000000001</v>
      </c>
      <c r="E119">
        <v>1128.31</v>
      </c>
      <c r="F119">
        <v>33138500</v>
      </c>
      <c r="G119">
        <v>1128.31</v>
      </c>
      <c r="H119">
        <f t="shared" si="15"/>
        <v>1174.22</v>
      </c>
      <c r="I119">
        <f t="shared" si="16"/>
        <v>1116.1300000000001</v>
      </c>
      <c r="J119">
        <f t="shared" si="17"/>
        <v>20.967464279565938</v>
      </c>
      <c r="K119">
        <f t="shared" si="14"/>
        <v>8.1351173093265352</v>
      </c>
      <c r="L119">
        <f t="shared" si="14"/>
        <v>11.012368433783601</v>
      </c>
    </row>
    <row r="120" spans="1:12" x14ac:dyDescent="0.25">
      <c r="A120" s="6">
        <v>41907</v>
      </c>
      <c r="B120">
        <v>1126.0999999999999</v>
      </c>
      <c r="C120">
        <v>1126.0999999999999</v>
      </c>
      <c r="D120">
        <v>1107.51</v>
      </c>
      <c r="E120">
        <v>1110.24</v>
      </c>
      <c r="F120">
        <v>32730600</v>
      </c>
      <c r="G120">
        <v>1110.24</v>
      </c>
      <c r="H120">
        <f t="shared" si="15"/>
        <v>1174.22</v>
      </c>
      <c r="I120">
        <f t="shared" si="16"/>
        <v>1107.51</v>
      </c>
      <c r="J120">
        <f t="shared" si="17"/>
        <v>4.0923399790136665</v>
      </c>
      <c r="K120">
        <f t="shared" ref="K120:L126" si="18">AVERAGE(J118:J120)</f>
        <v>8.3532680861932018</v>
      </c>
      <c r="L120">
        <f t="shared" si="18"/>
        <v>7.3115541367999342</v>
      </c>
    </row>
    <row r="121" spans="1:12" x14ac:dyDescent="0.25">
      <c r="A121" s="6">
        <v>41908</v>
      </c>
      <c r="B121">
        <v>1111.6300000000001</v>
      </c>
      <c r="C121">
        <v>1119.73</v>
      </c>
      <c r="D121">
        <v>1111.04</v>
      </c>
      <c r="E121">
        <v>1119.33</v>
      </c>
      <c r="F121">
        <v>29294400</v>
      </c>
      <c r="G121">
        <v>1119.33</v>
      </c>
      <c r="H121">
        <f t="shared" si="15"/>
        <v>1172.95</v>
      </c>
      <c r="I121">
        <f t="shared" si="16"/>
        <v>1107.51</v>
      </c>
      <c r="J121">
        <f t="shared" si="17"/>
        <v>18.062347188263946</v>
      </c>
      <c r="K121">
        <f t="shared" si="18"/>
        <v>14.374050482281183</v>
      </c>
      <c r="L121">
        <f t="shared" si="18"/>
        <v>10.287478625933639</v>
      </c>
    </row>
    <row r="122" spans="1:12" x14ac:dyDescent="0.25">
      <c r="A122" s="6">
        <v>41911</v>
      </c>
      <c r="B122">
        <v>1110.43</v>
      </c>
      <c r="C122">
        <v>1120.55</v>
      </c>
      <c r="D122">
        <v>1107.81</v>
      </c>
      <c r="E122">
        <v>1117.9100000000001</v>
      </c>
      <c r="F122">
        <v>30944400</v>
      </c>
      <c r="G122">
        <v>1117.9100000000001</v>
      </c>
      <c r="H122">
        <f t="shared" si="15"/>
        <v>1172.95</v>
      </c>
      <c r="I122">
        <f t="shared" si="16"/>
        <v>1107.51</v>
      </c>
      <c r="J122">
        <f t="shared" si="17"/>
        <v>15.892420537897436</v>
      </c>
      <c r="K122">
        <f t="shared" si="18"/>
        <v>12.682369235058351</v>
      </c>
      <c r="L122">
        <f t="shared" si="18"/>
        <v>11.803229267844245</v>
      </c>
    </row>
    <row r="123" spans="1:12" x14ac:dyDescent="0.25">
      <c r="A123" s="6">
        <v>41912</v>
      </c>
      <c r="B123">
        <v>1118.22</v>
      </c>
      <c r="C123">
        <v>1118.7</v>
      </c>
      <c r="D123">
        <v>1101.67</v>
      </c>
      <c r="E123">
        <v>1101.68</v>
      </c>
      <c r="F123">
        <v>39511000</v>
      </c>
      <c r="G123">
        <v>1101.68</v>
      </c>
      <c r="H123">
        <f t="shared" si="15"/>
        <v>1172.95</v>
      </c>
      <c r="I123">
        <f t="shared" si="16"/>
        <v>1101.67</v>
      </c>
      <c r="J123">
        <f t="shared" si="17"/>
        <v>1.4029180695834607E-2</v>
      </c>
      <c r="K123">
        <f t="shared" si="18"/>
        <v>11.322932302285738</v>
      </c>
      <c r="L123">
        <f t="shared" si="18"/>
        <v>12.79311733987509</v>
      </c>
    </row>
    <row r="124" spans="1:12" x14ac:dyDescent="0.25">
      <c r="A124" s="6">
        <v>41913</v>
      </c>
      <c r="B124">
        <v>1101.08</v>
      </c>
      <c r="C124">
        <v>1101.19</v>
      </c>
      <c r="D124">
        <v>1083</v>
      </c>
      <c r="E124">
        <v>1085.4100000000001</v>
      </c>
      <c r="F124">
        <v>41885900</v>
      </c>
      <c r="G124">
        <v>1085.4100000000001</v>
      </c>
      <c r="H124">
        <f t="shared" si="15"/>
        <v>1172.95</v>
      </c>
      <c r="I124">
        <f t="shared" si="16"/>
        <v>1083</v>
      </c>
      <c r="J124">
        <f t="shared" si="17"/>
        <v>2.6792662590328855</v>
      </c>
      <c r="K124">
        <f t="shared" si="18"/>
        <v>6.1952386592087185</v>
      </c>
      <c r="L124">
        <f t="shared" si="18"/>
        <v>10.066846732184269</v>
      </c>
    </row>
    <row r="125" spans="1:12" x14ac:dyDescent="0.25">
      <c r="A125" s="6">
        <v>41914</v>
      </c>
      <c r="B125">
        <v>1085.1400000000001</v>
      </c>
      <c r="C125">
        <v>1099.46</v>
      </c>
      <c r="D125">
        <v>1077.96</v>
      </c>
      <c r="E125">
        <v>1096.3800000000001</v>
      </c>
      <c r="F125">
        <v>40125100</v>
      </c>
      <c r="G125">
        <v>1096.3800000000001</v>
      </c>
      <c r="H125">
        <f t="shared" si="15"/>
        <v>1163.8599999999999</v>
      </c>
      <c r="I125">
        <f t="shared" si="16"/>
        <v>1077.96</v>
      </c>
      <c r="J125">
        <f t="shared" si="17"/>
        <v>21.443538998835972</v>
      </c>
      <c r="K125">
        <f t="shared" si="18"/>
        <v>8.045611479521563</v>
      </c>
      <c r="L125">
        <f t="shared" si="18"/>
        <v>8.5212608136720061</v>
      </c>
    </row>
    <row r="126" spans="1:12" x14ac:dyDescent="0.25">
      <c r="A126" s="6">
        <v>41915</v>
      </c>
      <c r="B126">
        <v>1105.1199999999999</v>
      </c>
      <c r="C126">
        <v>1109.8699999999999</v>
      </c>
      <c r="D126">
        <v>1101.51</v>
      </c>
      <c r="E126">
        <v>1104.74</v>
      </c>
      <c r="F126">
        <v>35609700</v>
      </c>
      <c r="G126">
        <v>1104.74</v>
      </c>
      <c r="H126">
        <f t="shared" si="15"/>
        <v>1163.8599999999999</v>
      </c>
      <c r="I126">
        <f t="shared" si="16"/>
        <v>1077.96</v>
      </c>
      <c r="J126">
        <f t="shared" si="17"/>
        <v>31.175785797438898</v>
      </c>
      <c r="K126">
        <f t="shared" si="18"/>
        <v>18.432863685102586</v>
      </c>
      <c r="L126">
        <f t="shared" si="18"/>
        <v>10.891237941277623</v>
      </c>
    </row>
    <row r="127" spans="1:12" x14ac:dyDescent="0.25">
      <c r="A127" t="s">
        <v>4</v>
      </c>
    </row>
  </sheetData>
  <sortState ref="A2:K127">
    <sortCondition ref="A2:A127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177</vt:i4>
      </vt:variant>
    </vt:vector>
  </HeadingPairs>
  <TitlesOfParts>
    <vt:vector size="180" baseType="lpstr">
      <vt:lpstr>ReadMe</vt:lpstr>
      <vt:lpstr>Chart</vt:lpstr>
      <vt:lpstr>Data</vt:lpstr>
      <vt:lpstr>dtFrom</vt:lpstr>
      <vt:lpstr>dtTo</vt:lpstr>
      <vt:lpstr>Data!ExternalData_10</vt:lpstr>
      <vt:lpstr>Data!ExternalData_100</vt:lpstr>
      <vt:lpstr>Data!ExternalData_101</vt:lpstr>
      <vt:lpstr>Data!ExternalData_102</vt:lpstr>
      <vt:lpstr>Data!ExternalData_103</vt:lpstr>
      <vt:lpstr>Data!ExternalData_104</vt:lpstr>
      <vt:lpstr>Data!ExternalData_105</vt:lpstr>
      <vt:lpstr>Data!ExternalData_106</vt:lpstr>
      <vt:lpstr>Data!ExternalData_107</vt:lpstr>
      <vt:lpstr>Data!ExternalData_108</vt:lpstr>
      <vt:lpstr>Data!ExternalData_109</vt:lpstr>
      <vt:lpstr>Data!ExternalData_11</vt:lpstr>
      <vt:lpstr>Data!ExternalData_110</vt:lpstr>
      <vt:lpstr>Data!ExternalData_111</vt:lpstr>
      <vt:lpstr>Data!ExternalData_112</vt:lpstr>
      <vt:lpstr>Data!ExternalData_113</vt:lpstr>
      <vt:lpstr>Data!ExternalData_114</vt:lpstr>
      <vt:lpstr>Data!ExternalData_115</vt:lpstr>
      <vt:lpstr>Data!ExternalData_116</vt:lpstr>
      <vt:lpstr>Data!ExternalData_117</vt:lpstr>
      <vt:lpstr>Data!ExternalData_118</vt:lpstr>
      <vt:lpstr>Data!ExternalData_119</vt:lpstr>
      <vt:lpstr>Data!ExternalData_12</vt:lpstr>
      <vt:lpstr>Data!ExternalData_120</vt:lpstr>
      <vt:lpstr>Data!ExternalData_121</vt:lpstr>
      <vt:lpstr>Data!ExternalData_122</vt:lpstr>
      <vt:lpstr>Data!ExternalData_123</vt:lpstr>
      <vt:lpstr>Data!ExternalData_124</vt:lpstr>
      <vt:lpstr>Data!ExternalData_125</vt:lpstr>
      <vt:lpstr>Data!ExternalData_126</vt:lpstr>
      <vt:lpstr>Data!ExternalData_127</vt:lpstr>
      <vt:lpstr>Data!ExternalData_128</vt:lpstr>
      <vt:lpstr>Data!ExternalData_129</vt:lpstr>
      <vt:lpstr>Data!ExternalData_13</vt:lpstr>
      <vt:lpstr>Data!ExternalData_130</vt:lpstr>
      <vt:lpstr>Data!ExternalData_131</vt:lpstr>
      <vt:lpstr>Data!ExternalData_132</vt:lpstr>
      <vt:lpstr>Data!ExternalData_133</vt:lpstr>
      <vt:lpstr>Data!ExternalData_134</vt:lpstr>
      <vt:lpstr>Data!ExternalData_135</vt:lpstr>
      <vt:lpstr>Data!ExternalData_136</vt:lpstr>
      <vt:lpstr>Data!ExternalData_137</vt:lpstr>
      <vt:lpstr>Data!ExternalData_138</vt:lpstr>
      <vt:lpstr>Data!ExternalData_139</vt:lpstr>
      <vt:lpstr>Data!ExternalData_14</vt:lpstr>
      <vt:lpstr>Data!ExternalData_140</vt:lpstr>
      <vt:lpstr>Data!ExternalData_141</vt:lpstr>
      <vt:lpstr>Data!ExternalData_142</vt:lpstr>
      <vt:lpstr>Data!ExternalData_143</vt:lpstr>
      <vt:lpstr>Data!ExternalData_144</vt:lpstr>
      <vt:lpstr>Data!ExternalData_145</vt:lpstr>
      <vt:lpstr>Data!ExternalData_146</vt:lpstr>
      <vt:lpstr>Data!ExternalData_147</vt:lpstr>
      <vt:lpstr>Data!ExternalData_148</vt:lpstr>
      <vt:lpstr>Data!ExternalData_149</vt:lpstr>
      <vt:lpstr>Data!ExternalData_15</vt:lpstr>
      <vt:lpstr>Data!ExternalData_150</vt:lpstr>
      <vt:lpstr>Data!ExternalData_151</vt:lpstr>
      <vt:lpstr>Data!ExternalData_152</vt:lpstr>
      <vt:lpstr>Data!ExternalData_153</vt:lpstr>
      <vt:lpstr>Data!ExternalData_154</vt:lpstr>
      <vt:lpstr>Data!ExternalData_155</vt:lpstr>
      <vt:lpstr>Data!ExternalData_156</vt:lpstr>
      <vt:lpstr>Data!ExternalData_157</vt:lpstr>
      <vt:lpstr>Data!ExternalData_158</vt:lpstr>
      <vt:lpstr>Data!ExternalData_159</vt:lpstr>
      <vt:lpstr>Data!ExternalData_16</vt:lpstr>
      <vt:lpstr>Data!ExternalData_160</vt:lpstr>
      <vt:lpstr>Data!ExternalData_161</vt:lpstr>
      <vt:lpstr>Data!ExternalData_162</vt:lpstr>
      <vt:lpstr>Data!ExternalData_163</vt:lpstr>
      <vt:lpstr>Data!ExternalData_164</vt:lpstr>
      <vt:lpstr>Data!ExternalData_165</vt:lpstr>
      <vt:lpstr>Data!ExternalData_166</vt:lpstr>
      <vt:lpstr>Data!ExternalData_167</vt:lpstr>
      <vt:lpstr>Data!ExternalData_168</vt:lpstr>
      <vt:lpstr>Data!ExternalData_169</vt:lpstr>
      <vt:lpstr>Data!ExternalData_17</vt:lpstr>
      <vt:lpstr>Data!ExternalData_170</vt:lpstr>
      <vt:lpstr>Data!ExternalData_171</vt:lpstr>
      <vt:lpstr>Data!ExternalData_173</vt:lpstr>
      <vt:lpstr>Data!ExternalData_176</vt:lpstr>
      <vt:lpstr>Data!ExternalData_177</vt:lpstr>
      <vt:lpstr>Data!ExternalData_18</vt:lpstr>
      <vt:lpstr>Data!ExternalData_180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Data!ExternalData_26</vt:lpstr>
      <vt:lpstr>Data!ExternalData_27</vt:lpstr>
      <vt:lpstr>Data!ExternalData_28</vt:lpstr>
      <vt:lpstr>Data!ExternalData_29</vt:lpstr>
      <vt:lpstr>Data!ExternalData_3</vt:lpstr>
      <vt:lpstr>Data!ExternalData_30</vt:lpstr>
      <vt:lpstr>Data!ExternalData_31</vt:lpstr>
      <vt:lpstr>Data!ExternalData_32</vt:lpstr>
      <vt:lpstr>Data!ExternalData_33</vt:lpstr>
      <vt:lpstr>Data!ExternalData_34</vt:lpstr>
      <vt:lpstr>Data!ExternalData_35</vt:lpstr>
      <vt:lpstr>Data!ExternalData_36</vt:lpstr>
      <vt:lpstr>Data!ExternalData_37</vt:lpstr>
      <vt:lpstr>Data!ExternalData_38</vt:lpstr>
      <vt:lpstr>Data!ExternalData_39</vt:lpstr>
      <vt:lpstr>Data!ExternalData_4</vt:lpstr>
      <vt:lpstr>Data!ExternalData_40</vt:lpstr>
      <vt:lpstr>Data!ExternalData_41</vt:lpstr>
      <vt:lpstr>Data!ExternalData_42</vt:lpstr>
      <vt:lpstr>Data!ExternalData_43</vt:lpstr>
      <vt:lpstr>Data!ExternalData_44</vt:lpstr>
      <vt:lpstr>Data!ExternalData_45</vt:lpstr>
      <vt:lpstr>Data!ExternalData_46</vt:lpstr>
      <vt:lpstr>Data!ExternalData_47</vt:lpstr>
      <vt:lpstr>Data!ExternalData_48</vt:lpstr>
      <vt:lpstr>Data!ExternalData_49</vt:lpstr>
      <vt:lpstr>Data!ExternalData_5</vt:lpstr>
      <vt:lpstr>Data!ExternalData_50</vt:lpstr>
      <vt:lpstr>Data!ExternalData_51</vt:lpstr>
      <vt:lpstr>Data!ExternalData_52</vt:lpstr>
      <vt:lpstr>Data!ExternalData_53</vt:lpstr>
      <vt:lpstr>Data!ExternalData_54</vt:lpstr>
      <vt:lpstr>Data!ExternalData_55</vt:lpstr>
      <vt:lpstr>Data!ExternalData_56</vt:lpstr>
      <vt:lpstr>Data!ExternalData_57</vt:lpstr>
      <vt:lpstr>Data!ExternalData_58</vt:lpstr>
      <vt:lpstr>Data!ExternalData_59</vt:lpstr>
      <vt:lpstr>Data!ExternalData_6</vt:lpstr>
      <vt:lpstr>Data!ExternalData_60</vt:lpstr>
      <vt:lpstr>Data!ExternalData_61</vt:lpstr>
      <vt:lpstr>Data!ExternalData_62</vt:lpstr>
      <vt:lpstr>Data!ExternalData_63</vt:lpstr>
      <vt:lpstr>Data!ExternalData_64</vt:lpstr>
      <vt:lpstr>Data!ExternalData_65</vt:lpstr>
      <vt:lpstr>Data!ExternalData_66</vt:lpstr>
      <vt:lpstr>Data!ExternalData_67</vt:lpstr>
      <vt:lpstr>Data!ExternalData_68</vt:lpstr>
      <vt:lpstr>Data!ExternalData_69</vt:lpstr>
      <vt:lpstr>Data!ExternalData_7</vt:lpstr>
      <vt:lpstr>Data!ExternalData_70</vt:lpstr>
      <vt:lpstr>Data!ExternalData_71</vt:lpstr>
      <vt:lpstr>Data!ExternalData_72</vt:lpstr>
      <vt:lpstr>Data!ExternalData_73</vt:lpstr>
      <vt:lpstr>Data!ExternalData_74</vt:lpstr>
      <vt:lpstr>Data!ExternalData_75</vt:lpstr>
      <vt:lpstr>Data!ExternalData_76</vt:lpstr>
      <vt:lpstr>Data!ExternalData_77</vt:lpstr>
      <vt:lpstr>Data!ExternalData_78</vt:lpstr>
      <vt:lpstr>Data!ExternalData_79</vt:lpstr>
      <vt:lpstr>Data!ExternalData_8</vt:lpstr>
      <vt:lpstr>Data!ExternalData_80</vt:lpstr>
      <vt:lpstr>Data!ExternalData_81</vt:lpstr>
      <vt:lpstr>Data!ExternalData_82</vt:lpstr>
      <vt:lpstr>Data!ExternalData_83</vt:lpstr>
      <vt:lpstr>Data!ExternalData_84</vt:lpstr>
      <vt:lpstr>Data!ExternalData_85</vt:lpstr>
      <vt:lpstr>Data!ExternalData_86</vt:lpstr>
      <vt:lpstr>Data!ExternalData_87</vt:lpstr>
      <vt:lpstr>Data!ExternalData_88</vt:lpstr>
      <vt:lpstr>Data!ExternalData_89</vt:lpstr>
      <vt:lpstr>Data!ExternalData_9</vt:lpstr>
      <vt:lpstr>Data!ExternalData_90</vt:lpstr>
      <vt:lpstr>Data!ExternalData_91</vt:lpstr>
      <vt:lpstr>Data!ExternalData_92</vt:lpstr>
      <vt:lpstr>Data!ExternalData_93</vt:lpstr>
      <vt:lpstr>Data!ExternalData_94</vt:lpstr>
      <vt:lpstr>Data!ExternalData_95</vt:lpstr>
      <vt:lpstr>Data!ExternalData_96</vt:lpstr>
      <vt:lpstr>Data!ExternalData_97</vt:lpstr>
      <vt:lpstr>Data!ExternalData_98</vt:lpstr>
      <vt:lpstr>Data!ExternalData_99</vt:lpstr>
      <vt:lpstr>stochasticPeriod</vt:lpstr>
      <vt:lpstr>symbol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craftodyne@hotmail.com;jishb@yahoo.com</dc:creator>
  <cp:keywords>Stochastic Oscillator</cp:keywords>
  <cp:lastModifiedBy>Jay</cp:lastModifiedBy>
  <dcterms:created xsi:type="dcterms:W3CDTF">2014-10-03T14:40:02Z</dcterms:created>
  <dcterms:modified xsi:type="dcterms:W3CDTF">2016-04-14T20:37:44Z</dcterms:modified>
</cp:coreProperties>
</file>