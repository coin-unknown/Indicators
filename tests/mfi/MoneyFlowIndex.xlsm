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5345" windowHeight="4635"/>
  </bookViews>
  <sheets>
    <sheet name="Parameters" sheetId="1" r:id="rId1"/>
    <sheet name="Data" sheetId="2" r:id="rId2"/>
  </sheets>
  <definedNames>
    <definedName name="endDate">Parameters!$B$7</definedName>
    <definedName name="ExternalData_138" localSheetId="1">Data!$A$1:$A$998</definedName>
    <definedName name="ExternalData_139" localSheetId="1">Data!$A$1:$A$1002</definedName>
    <definedName name="ExternalData_140" localSheetId="1">Data!$A$1:$A$1002</definedName>
    <definedName name="ExternalData_141" localSheetId="1">Data!$A$1:$A$1002</definedName>
    <definedName name="ExternalData_142" localSheetId="1">Data!$A$1:$A$1002</definedName>
    <definedName name="ExternalData_143" localSheetId="1">Data!$A$1:$A$1002</definedName>
    <definedName name="ExternalData_144" localSheetId="1">Data!$A$1:$A$1002</definedName>
    <definedName name="ExternalData_145" localSheetId="1">Data!$A$1:$A$1002</definedName>
    <definedName name="ExternalData_146" localSheetId="1">Data!$A$1:$A$1002</definedName>
    <definedName name="ExternalData_147" localSheetId="1">Data!$A$1:$A$1002</definedName>
    <definedName name="ExternalData_148" localSheetId="1">Data!$A$1:$A$1002</definedName>
    <definedName name="ExternalData_149" localSheetId="1">Data!$A$1:$A$1002</definedName>
    <definedName name="ExternalData_150" localSheetId="1">Data!$A$1:$A$1002</definedName>
    <definedName name="ExternalData_151" localSheetId="1">Data!$A$1:$A$1002</definedName>
    <definedName name="ExternalData_152" localSheetId="1">Data!$A$1:$A$247</definedName>
    <definedName name="ExternalData_153" localSheetId="1">Data!$A$1:$A$1255</definedName>
    <definedName name="ExternalData_154" localSheetId="1">Data!$A$1:$A$1255</definedName>
    <definedName name="ExternalData_155" localSheetId="1">Data!$A$1:$A$1428</definedName>
    <definedName name="ExternalData_156" localSheetId="1">Data!$A$1:$A$1428</definedName>
    <definedName name="ExternalData_157" localSheetId="1">Data!$A$1:$A$1428</definedName>
    <definedName name="ExternalData_158" localSheetId="1">Data!$A$1:$A$1428</definedName>
    <definedName name="ExternalData_159" localSheetId="1">Data!$A$1:$A$1428</definedName>
    <definedName name="ExternalData_160" localSheetId="1">Data!$A$1:$A$1428</definedName>
    <definedName name="ExternalData_161" localSheetId="1">Data!$A$1:$A$1428</definedName>
    <definedName name="ExternalData_162" localSheetId="1">Data!$A$1:$A$1428</definedName>
    <definedName name="ExternalData_163" localSheetId="1">Data!$A$1:$A$1428</definedName>
    <definedName name="ExternalData_164" localSheetId="1">Data!$A$1:$A$1428</definedName>
    <definedName name="ExternalData_165" localSheetId="1">Data!$A$1:$A$1428</definedName>
    <definedName name="ExternalData_166" localSheetId="1">Data!$A$1:$A$1428</definedName>
    <definedName name="ExternalData_167" localSheetId="1">Data!$A$1:$A$1428</definedName>
    <definedName name="ExternalData_168" localSheetId="1">Data!$A$1:$A$1428</definedName>
    <definedName name="ExternalData_169" localSheetId="1">Data!$A$1:$A$1428</definedName>
    <definedName name="ExternalData_170" localSheetId="1">Data!$A$1:$A$1428</definedName>
    <definedName name="ExternalData_171" localSheetId="1">Data!$A$1:$A$1428</definedName>
    <definedName name="ExternalData_172" localSheetId="1">Data!$A$1:$A$1428</definedName>
    <definedName name="ExternalData_173" localSheetId="1">Data!$A$1:$A$1428</definedName>
    <definedName name="ExternalData_174" localSheetId="1">Data!$A$1:$A$1428</definedName>
    <definedName name="ExternalData_175" localSheetId="1">Data!$A$1:$A$1428</definedName>
    <definedName name="ExternalData_176" localSheetId="1">Data!$A$1:$A$1428</definedName>
    <definedName name="ExternalData_177" localSheetId="1">Data!$A$1:$A$1428</definedName>
    <definedName name="ExternalData_178" localSheetId="1">Data!$A$1:$A$1428</definedName>
    <definedName name="ExternalData_179" localSheetId="1">Data!$A$1:$A$1428</definedName>
    <definedName name="ExternalData_180" localSheetId="1">Data!$A$1:$A$1428</definedName>
    <definedName name="ExternalData_181" localSheetId="1">Data!$A$1:$A$1428</definedName>
    <definedName name="ExternalData_182" localSheetId="1">Data!$A$1:$A$1428</definedName>
    <definedName name="ExternalData_183" localSheetId="1">Data!$A$1:$A$1428</definedName>
    <definedName name="ExternalData_184" localSheetId="1">Data!$A$1:$A$1428</definedName>
    <definedName name="ExternalData_185" localSheetId="1">Data!$A$1:$A$124</definedName>
    <definedName name="ExternalData_186" localSheetId="1">Data!$A$1:$A$31</definedName>
    <definedName name="ExternalData_187" localSheetId="1">Data!$A$1:$A$31</definedName>
    <definedName name="ExternalData_188" localSheetId="1">Data!$A$1:$A$31</definedName>
    <definedName name="ExternalData_189" localSheetId="1">Data!$A$1:$A$31</definedName>
    <definedName name="ExternalData_190" localSheetId="1">Data!$A$1:$A$31</definedName>
    <definedName name="ExternalData_191" localSheetId="1">Data!$A$1:$A$31</definedName>
    <definedName name="ExternalData_192" localSheetId="1">Data!$A$1:$A$31</definedName>
    <definedName name="ExternalData_193" localSheetId="1">Data!$A$1:$A$31</definedName>
    <definedName name="ExternalData_194" localSheetId="1">Data!$A$1:$A$31</definedName>
    <definedName name="ExternalData_195" localSheetId="1">Data!$A$1:$A$31</definedName>
    <definedName name="ExternalData_196" localSheetId="1">Data!$A$1:$A$31</definedName>
    <definedName name="ExternalData_197" localSheetId="1">Data!$A$1:$A$31</definedName>
    <definedName name="ExternalData_198" localSheetId="1">Data!$A$1:$A$31</definedName>
    <definedName name="ExternalData_199" localSheetId="1">Data!$A$1:$A$31</definedName>
    <definedName name="ExternalData_200" localSheetId="1">Data!$A$1:$A$31</definedName>
    <definedName name="ExternalData_201" localSheetId="1">Data!$A$1:$A$31</definedName>
    <definedName name="ExternalData_202" localSheetId="1">Data!$A$1:$A$31</definedName>
    <definedName name="ExternalData_203" localSheetId="1">Data!$A$1:$A$31</definedName>
    <definedName name="ExternalData_204" localSheetId="1">Data!$A$1:$A$31</definedName>
    <definedName name="ExternalData_205" localSheetId="1">Data!$A$1:$A$31</definedName>
    <definedName name="ExternalData_206" localSheetId="1">Data!$A$1:$A$1535</definedName>
    <definedName name="ExternalData_207" localSheetId="1">Data!$A$1:$A$254</definedName>
    <definedName name="ExternalData_208" localSheetId="1">Data!$A$1:$A$254</definedName>
    <definedName name="ExternalData_209" localSheetId="1">Data!$A$1:$A$254</definedName>
    <definedName name="startDate">Parameters!$B$6</definedName>
    <definedName name="ticker">Parameters!$B$5</definedName>
    <definedName name="timeWindow">Parameters!$B$8</definedName>
  </definedNames>
  <calcPr calcId="145621"/>
</workbook>
</file>

<file path=xl/calcChain.xml><?xml version="1.0" encoding="utf-8"?>
<calcChain xmlns="http://schemas.openxmlformats.org/spreadsheetml/2006/main">
  <c r="O15" i="2" l="1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2" name="Connection1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3" name="Connection10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4" name="Connection11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5" name="Connection12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6" name="Connection13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7" name="Connection137" type="4" refreshedVersion="5" background="1" saveData="1">
    <webPr xl2000="1" url="http://ichart.finance.yahoo.com/table.csv?s=wmt&amp;a=9&amp;b=27&amp;c=2010&amp;d=9&amp;e=12&amp;f=2014&amp;g=&amp;q=q&amp;y=0&amp;z=wmt&amp;x=.csv" htmlFormat="all"/>
  </connection>
  <connection id="8" name="Connection14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9" name="Connection15" type="4" refreshedVersion="5" background="1" saveData="1">
    <webPr xl2000="1" url="http://ichart.finance.yahoo.com/table.csv?s=XOM&amp;a=9&amp;b=27&amp;c=2010&amp;d=9&amp;e=16&amp;f=2014&amp;g=&amp;q=q&amp;y=0&amp;z=XOM&amp;x=.csv" htmlFormat="all"/>
  </connection>
  <connection id="10" name="Connection16" type="4" refreshedVersion="5" background="1" saveData="1">
    <webPr xl2000="1" url="http://ichart.finance.yahoo.com/table.csv?s=XOM&amp;a=9&amp;b=27&amp;c=2013&amp;d=9&amp;e=16&amp;f=2014&amp;g=&amp;q=q&amp;y=0&amp;z=XOM&amp;x=.csv" htmlFormat="all"/>
  </connection>
  <connection id="11" name="Connection17" type="4" refreshedVersion="5" background="1" saveData="1">
    <webPr xl2000="1" url="http://ichart.finance.yahoo.com/table.csv?s=XOM&amp;a=9&amp;b=27&amp;c=2009&amp;d=9&amp;e=17&amp;f=2014&amp;g=&amp;q=q&amp;y=0&amp;z=XOM&amp;x=.csv" htmlFormat="all"/>
  </connection>
  <connection id="12" name="Connection18" type="4" refreshedVersion="5" background="1" saveData="1">
    <webPr xl2000="1" url="http://ichart.finance.yahoo.com/table.csv?s=BP&amp;a=9&amp;b=27&amp;c=2009&amp;d=9&amp;e=17&amp;f=2014&amp;g=&amp;q=q&amp;y=0&amp;z=BP&amp;x=.csv" htmlFormat="all"/>
  </connection>
  <connection id="13" name="Connection19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14" name="Connection2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15" name="Connection20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16" name="Connection21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17" name="Connection22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18" name="Connection23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19" name="Connection24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20" name="Connection25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21" name="Connection26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22" name="Connection27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23" name="Connection28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24" name="Connection29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25" name="Connection3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26" name="Connection30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27" name="Connection31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28" name="Connection32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29" name="Connection33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30" name="Connection34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31" name="Connection35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32" name="Connection36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33" name="Connection37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34" name="Connection38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35" name="Connection39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36" name="Connection4" type="4" refreshedVersion="0" background="1">
    <webPr url="http://ichart.yahoo.com/table.csv?s=&amp;a=11&amp;b=30&amp;c=1899&amp;d=11&amp;e=30&amp;f=1899&amp;g=&amp;q=q&amp;y=0&amp;z=&amp;x=.csv" htmlTables="1" htmlFormat="all"/>
  </connection>
  <connection id="37" name="Connection40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38" name="Connection41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39" name="Connection42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40" name="Connection43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41" name="Connection44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42" name="Connection45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43" name="Connection46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44" name="Connection47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45" name="Connection48" type="4" refreshedVersion="4" background="1" saveData="1">
    <webPr xl2000="1" url="http://ichart.finance.yahoo.com/table.csv?s=BP&amp;a=9&amp;b=27&amp;c=2009&amp;d=5&amp;e=27&amp;f=2015&amp;g=&amp;q=q&amp;y=0&amp;z=BP&amp;x=.csv" htmlFormat="all"/>
  </connection>
  <connection id="46" name="Connection49" type="4" refreshedVersion="4" background="1" saveData="1">
    <webPr xl2000="1" url="http://ichart.finance.yahoo.com/table.csv?s=BP&amp;a=0&amp;b=1&amp;c=2015&amp;d=5&amp;e=27&amp;f=2015&amp;g=&amp;q=q&amp;y=0&amp;z=BP&amp;x=.csv" htmlFormat="all"/>
  </connection>
  <connection id="47" name="Connection5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48" name="Connection50" type="4" refreshedVersion="4" background="1" saveData="1">
    <webPr xl2000="1" url="http://ichart.finance.yahoo.com/table.csv?s=BP&amp;a=7&amp;b=25&amp;c=2010&amp;d=9&amp;e=5&amp;f=2010&amp;g=&amp;q=q&amp;y=0&amp;z=BP&amp;x=.csv" htmlFormat="all"/>
  </connection>
  <connection id="49" name="Connection51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50" name="Connection52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51" name="Connection53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52" name="Connection54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53" name="Connection55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54" name="Connection56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55" name="Connection57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56" name="Connection58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57" name="Connection59" type="4" refreshedVersion="0" background="1">
    <webPr url="http://ichart.yahoo.com/table.csv?s=BP&amp;a=4&amp;b=1&amp;c=2013&amp;d=5&amp;e=11&amp;f=2013&amp;g=&amp;q=q&amp;y=0&amp;z=BP&amp;x=.csv" htmlTables="1" htmlFormat="all"/>
  </connection>
  <connection id="58" name="Connection6" type="4" refreshedVersion="0" background="1">
    <webPr url="http://ichart.yahoo.com/table.csv?s=54.99&amp;a=1&amp;b=23&amp;c=1900&amp;d=1&amp;e=23&amp;f=1900&amp;g=&amp;q=q&amp;y=0&amp;z=54.99&amp;x=.csv" htmlTables="1" htmlFormat="all"/>
  </connection>
  <connection id="59" name="Connection60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60" name="Connection61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61" name="Connection62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62" name="Connection63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63" name="Connection64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64" name="Connection65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65" name="Connection66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66" name="Connection67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67" name="Connection68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68" name="Connection69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69" name="Connection7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70" name="Connection70" type="4" refreshedVersion="4" background="1" saveData="1">
    <webPr xl2000="1" url="http://ichart.finance.yahoo.com/table.csv?s=MSFT&amp;a=7&amp;b=25&amp;c=2010&amp;d=9&amp;e=5&amp;f=2010&amp;g=&amp;q=q&amp;y=0&amp;z=MSFT&amp;x=.csv" htmlFormat="all"/>
  </connection>
  <connection id="71" name="Connection71" type="4" refreshedVersion="4" background="1" saveData="1">
    <webPr xl2000="1" url="http://ichart.finance.yahoo.com/table.csv?s=MSFT&amp;a=7&amp;b=25&amp;c=2010&amp;d=8&amp;e=26&amp;f=2016&amp;g=&amp;q=q&amp;y=0&amp;z=MSFT&amp;x=.csv" htmlFormat="all"/>
  </connection>
  <connection id="72" name="Connection72" type="4" refreshedVersion="4" background="1" saveData="1">
    <webPr xl2000="1" url="http://ichart.finance.yahoo.com/table.csv?s=MSFT&amp;a=8&amp;b=27&amp;c=2015&amp;d=8&amp;e=26&amp;f=2016&amp;g=&amp;q=q&amp;y=0&amp;z=MSFT&amp;x=.csv" htmlFormat="all"/>
  </connection>
  <connection id="73" name="Connection73" type="4" refreshedVersion="4" background="1" saveData="1">
    <webPr xl2000="1" url="http://ichart.finance.yahoo.com/table.csv?s=MSFT&amp;a=8&amp;b=27&amp;c=2015&amp;d=8&amp;e=26&amp;f=2016&amp;g=&amp;q=q&amp;y=0&amp;z=MSFT&amp;x=.csv" htmlFormat="all"/>
  </connection>
  <connection id="74" name="Connection74" type="4" refreshedVersion="4" background="1" saveData="1">
    <webPr xl2000="1" url="http://ichart.finance.yahoo.com/table.csv?s=MSFT&amp;a=9&amp;b=2&amp;c=2015&amp;d=9&amp;e=1&amp;f=2016&amp;g=&amp;q=q&amp;y=0&amp;z=MSFT&amp;x=.csv" htmlFormat="all"/>
  </connection>
  <connection id="75" name="Connection8" type="4" refreshedVersion="0" background="1">
    <webPr url="http://ichart.yahoo.com/table.csv?s=54.99&amp;a=1&amp;b=23&amp;c=1900&amp;d=1&amp;e=23&amp;f=1900&amp;g=&amp;q=q&amp;y=0&amp;z=54.99&amp;x=.csv" htmlTables="1" htmlFormat="all"/>
  </connection>
  <connection id="76" name="Connection9" type="4" refreshedVersion="5" background="1" saveData="1">
    <webPr xl2000="1" url="http://ichart.finance.yahoo.com/table.csv?s=wmt&amp;a=9&amp;b=27&amp;c=2010&amp;d=9&amp;e=16&amp;f=2014&amp;g=&amp;q=q&amp;y=0&amp;z=wmt&amp;x=.csv" htmlFormat="all"/>
  </connection>
</connections>
</file>

<file path=xl/sharedStrings.xml><?xml version="1.0" encoding="utf-8"?>
<sst xmlns="http://schemas.openxmlformats.org/spreadsheetml/2006/main" count="25" uniqueCount="24">
  <si>
    <t>End date</t>
  </si>
  <si>
    <t>Stock ticker</t>
  </si>
  <si>
    <t>Start date</t>
  </si>
  <si>
    <t>http://investexcel.net</t>
  </si>
  <si>
    <t>Samir Khan</t>
  </si>
  <si>
    <t>simulationconsultant@gmail.com</t>
  </si>
  <si>
    <t>Date</t>
  </si>
  <si>
    <t>Open</t>
  </si>
  <si>
    <t>High</t>
  </si>
  <si>
    <t>Low</t>
  </si>
  <si>
    <t>Close</t>
  </si>
  <si>
    <t>Typical Price</t>
  </si>
  <si>
    <t>MSFT</t>
  </si>
  <si>
    <t>Time Window for SMA</t>
  </si>
  <si>
    <t>Parameters</t>
  </si>
  <si>
    <t>Adj Close</t>
  </si>
  <si>
    <t>Money Flow Index</t>
  </si>
  <si>
    <t>Volume</t>
  </si>
  <si>
    <t>Money Flow</t>
  </si>
  <si>
    <t>Positive Money Flow</t>
  </si>
  <si>
    <t>Negative Money Flow</t>
  </si>
  <si>
    <t>Sum of Positive Money Flow</t>
  </si>
  <si>
    <t>Sum of Negative Money Flow</t>
  </si>
  <si>
    <t>Money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</si>
</sst>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7">
    <font>
      <sz val="11"/>
      <color theme="1"/>
      <name val="Calibri"/>
      <family val="2"/>
      <scheme val="minor"/>
    </font>
    <font>
      <sz val="12"/>
      <name val="宋体"/>
      <charset val="134"/>
    </font>
    <font>
      <b/>
      <sz val="2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164" fontId="0" fillId="0" borderId="0" xfId="0" applyNumberFormat="1"/>
    <xf numFmtId="0" fontId="3" fillId="0" borderId="0" xfId="2"/>
    <xf numFmtId="0" fontId="4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14" fontId="0" fillId="0" borderId="0" xfId="0" applyNumberFormat="1"/>
    <xf numFmtId="0" fontId="0" fillId="2" borderId="6" xfId="0" applyFill="1" applyBorder="1"/>
    <xf numFmtId="0" fontId="0" fillId="2" borderId="4" xfId="0" applyFill="1" applyBorder="1" applyAlignment="1">
      <alignment horizontal="right" vertical="center"/>
    </xf>
    <xf numFmtId="0" fontId="0" fillId="2" borderId="6" xfId="0" applyFill="1" applyBorder="1" applyAlignment="1">
      <alignment horizontal="right" vertical="center"/>
    </xf>
    <xf numFmtId="0" fontId="0" fillId="0" borderId="0" xfId="0" applyFill="1" applyBorder="1"/>
    <xf numFmtId="0" fontId="0" fillId="2" borderId="1" xfId="0" applyFill="1" applyBorder="1"/>
    <xf numFmtId="0" fontId="0" fillId="2" borderId="7" xfId="0" applyFill="1" applyBorder="1"/>
    <xf numFmtId="0" fontId="6" fillId="2" borderId="5" xfId="2" applyFont="1" applyFill="1" applyBorder="1"/>
    <xf numFmtId="0" fontId="0" fillId="2" borderId="8" xfId="0" applyFill="1" applyBorder="1"/>
    <xf numFmtId="14" fontId="0" fillId="2" borderId="4" xfId="0" applyNumberFormat="1" applyFill="1" applyBorder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Money Flow Index for MSFT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Close Price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Data!$A$2:$A$252</c:f>
              <c:numCache>
                <c:formatCode>m/d/yyyy</c:formatCode>
                <c:ptCount val="251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42335</c:v>
                </c:pt>
                <c:pt idx="40">
                  <c:v>42338</c:v>
                </c:pt>
                <c:pt idx="41">
                  <c:v>42339</c:v>
                </c:pt>
                <c:pt idx="42">
                  <c:v>42340</c:v>
                </c:pt>
                <c:pt idx="43">
                  <c:v>42341</c:v>
                </c:pt>
                <c:pt idx="44">
                  <c:v>42342</c:v>
                </c:pt>
                <c:pt idx="45">
                  <c:v>42345</c:v>
                </c:pt>
                <c:pt idx="46">
                  <c:v>42346</c:v>
                </c:pt>
                <c:pt idx="47">
                  <c:v>42347</c:v>
                </c:pt>
                <c:pt idx="48">
                  <c:v>42348</c:v>
                </c:pt>
                <c:pt idx="49">
                  <c:v>42349</c:v>
                </c:pt>
                <c:pt idx="50">
                  <c:v>42352</c:v>
                </c:pt>
                <c:pt idx="51">
                  <c:v>42353</c:v>
                </c:pt>
                <c:pt idx="52">
                  <c:v>42354</c:v>
                </c:pt>
                <c:pt idx="53">
                  <c:v>42355</c:v>
                </c:pt>
                <c:pt idx="54">
                  <c:v>42356</c:v>
                </c:pt>
                <c:pt idx="55">
                  <c:v>42359</c:v>
                </c:pt>
                <c:pt idx="56">
                  <c:v>42360</c:v>
                </c:pt>
                <c:pt idx="57">
                  <c:v>42361</c:v>
                </c:pt>
                <c:pt idx="58">
                  <c:v>42362</c:v>
                </c:pt>
                <c:pt idx="59">
                  <c:v>42366</c:v>
                </c:pt>
                <c:pt idx="60">
                  <c:v>42367</c:v>
                </c:pt>
                <c:pt idx="61">
                  <c:v>42368</c:v>
                </c:pt>
                <c:pt idx="62">
                  <c:v>42369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42380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42388</c:v>
                </c:pt>
                <c:pt idx="74">
                  <c:v>42389</c:v>
                </c:pt>
                <c:pt idx="75">
                  <c:v>42390</c:v>
                </c:pt>
                <c:pt idx="76">
                  <c:v>42391</c:v>
                </c:pt>
                <c:pt idx="77">
                  <c:v>42394</c:v>
                </c:pt>
                <c:pt idx="78">
                  <c:v>42395</c:v>
                </c:pt>
                <c:pt idx="79">
                  <c:v>42396</c:v>
                </c:pt>
                <c:pt idx="80">
                  <c:v>42397</c:v>
                </c:pt>
                <c:pt idx="81">
                  <c:v>42398</c:v>
                </c:pt>
                <c:pt idx="82">
                  <c:v>42401</c:v>
                </c:pt>
                <c:pt idx="83">
                  <c:v>42402</c:v>
                </c:pt>
                <c:pt idx="84">
                  <c:v>42403</c:v>
                </c:pt>
                <c:pt idx="85">
                  <c:v>42404</c:v>
                </c:pt>
                <c:pt idx="86">
                  <c:v>42405</c:v>
                </c:pt>
                <c:pt idx="87">
                  <c:v>42408</c:v>
                </c:pt>
                <c:pt idx="88">
                  <c:v>42409</c:v>
                </c:pt>
                <c:pt idx="89">
                  <c:v>42410</c:v>
                </c:pt>
                <c:pt idx="90">
                  <c:v>42411</c:v>
                </c:pt>
                <c:pt idx="91">
                  <c:v>42412</c:v>
                </c:pt>
                <c:pt idx="92">
                  <c:v>42416</c:v>
                </c:pt>
                <c:pt idx="93">
                  <c:v>42417</c:v>
                </c:pt>
                <c:pt idx="94">
                  <c:v>42418</c:v>
                </c:pt>
                <c:pt idx="95">
                  <c:v>42419</c:v>
                </c:pt>
                <c:pt idx="96">
                  <c:v>42422</c:v>
                </c:pt>
                <c:pt idx="97">
                  <c:v>42423</c:v>
                </c:pt>
                <c:pt idx="98">
                  <c:v>42424</c:v>
                </c:pt>
                <c:pt idx="99">
                  <c:v>42425</c:v>
                </c:pt>
                <c:pt idx="100">
                  <c:v>42426</c:v>
                </c:pt>
                <c:pt idx="101">
                  <c:v>42429</c:v>
                </c:pt>
                <c:pt idx="102">
                  <c:v>42430</c:v>
                </c:pt>
                <c:pt idx="103">
                  <c:v>42431</c:v>
                </c:pt>
                <c:pt idx="104">
                  <c:v>42432</c:v>
                </c:pt>
                <c:pt idx="105">
                  <c:v>42433</c:v>
                </c:pt>
                <c:pt idx="106">
                  <c:v>42436</c:v>
                </c:pt>
                <c:pt idx="107">
                  <c:v>42437</c:v>
                </c:pt>
                <c:pt idx="108">
                  <c:v>42438</c:v>
                </c:pt>
                <c:pt idx="109">
                  <c:v>42439</c:v>
                </c:pt>
                <c:pt idx="110">
                  <c:v>42440</c:v>
                </c:pt>
                <c:pt idx="111">
                  <c:v>42443</c:v>
                </c:pt>
                <c:pt idx="112">
                  <c:v>42444</c:v>
                </c:pt>
                <c:pt idx="113">
                  <c:v>42445</c:v>
                </c:pt>
                <c:pt idx="114">
                  <c:v>42446</c:v>
                </c:pt>
                <c:pt idx="115">
                  <c:v>42447</c:v>
                </c:pt>
                <c:pt idx="116">
                  <c:v>42450</c:v>
                </c:pt>
                <c:pt idx="117">
                  <c:v>42451</c:v>
                </c:pt>
                <c:pt idx="118">
                  <c:v>42452</c:v>
                </c:pt>
                <c:pt idx="119">
                  <c:v>42453</c:v>
                </c:pt>
                <c:pt idx="120">
                  <c:v>42457</c:v>
                </c:pt>
                <c:pt idx="121">
                  <c:v>42458</c:v>
                </c:pt>
                <c:pt idx="122">
                  <c:v>42459</c:v>
                </c:pt>
                <c:pt idx="123">
                  <c:v>42460</c:v>
                </c:pt>
                <c:pt idx="124">
                  <c:v>42461</c:v>
                </c:pt>
                <c:pt idx="125">
                  <c:v>42464</c:v>
                </c:pt>
                <c:pt idx="126">
                  <c:v>42465</c:v>
                </c:pt>
                <c:pt idx="127">
                  <c:v>42466</c:v>
                </c:pt>
                <c:pt idx="128">
                  <c:v>42467</c:v>
                </c:pt>
                <c:pt idx="129">
                  <c:v>42468</c:v>
                </c:pt>
                <c:pt idx="130">
                  <c:v>42471</c:v>
                </c:pt>
                <c:pt idx="131">
                  <c:v>42472</c:v>
                </c:pt>
                <c:pt idx="132">
                  <c:v>42473</c:v>
                </c:pt>
                <c:pt idx="133">
                  <c:v>42474</c:v>
                </c:pt>
                <c:pt idx="134">
                  <c:v>42475</c:v>
                </c:pt>
                <c:pt idx="135">
                  <c:v>42478</c:v>
                </c:pt>
                <c:pt idx="136">
                  <c:v>42479</c:v>
                </c:pt>
                <c:pt idx="137">
                  <c:v>42480</c:v>
                </c:pt>
                <c:pt idx="138">
                  <c:v>42481</c:v>
                </c:pt>
                <c:pt idx="139">
                  <c:v>42482</c:v>
                </c:pt>
                <c:pt idx="140">
                  <c:v>42485</c:v>
                </c:pt>
                <c:pt idx="141">
                  <c:v>42486</c:v>
                </c:pt>
                <c:pt idx="142">
                  <c:v>42487</c:v>
                </c:pt>
                <c:pt idx="143">
                  <c:v>42488</c:v>
                </c:pt>
                <c:pt idx="144">
                  <c:v>42489</c:v>
                </c:pt>
                <c:pt idx="145">
                  <c:v>42492</c:v>
                </c:pt>
                <c:pt idx="146">
                  <c:v>42493</c:v>
                </c:pt>
                <c:pt idx="147">
                  <c:v>42494</c:v>
                </c:pt>
                <c:pt idx="148">
                  <c:v>42495</c:v>
                </c:pt>
                <c:pt idx="149">
                  <c:v>42496</c:v>
                </c:pt>
                <c:pt idx="150">
                  <c:v>42499</c:v>
                </c:pt>
                <c:pt idx="151">
                  <c:v>42500</c:v>
                </c:pt>
                <c:pt idx="152">
                  <c:v>42501</c:v>
                </c:pt>
                <c:pt idx="153">
                  <c:v>42502</c:v>
                </c:pt>
                <c:pt idx="154">
                  <c:v>42503</c:v>
                </c:pt>
                <c:pt idx="155">
                  <c:v>42506</c:v>
                </c:pt>
                <c:pt idx="156">
                  <c:v>42507</c:v>
                </c:pt>
                <c:pt idx="157">
                  <c:v>42508</c:v>
                </c:pt>
                <c:pt idx="158">
                  <c:v>42509</c:v>
                </c:pt>
                <c:pt idx="159">
                  <c:v>42510</c:v>
                </c:pt>
                <c:pt idx="160">
                  <c:v>42513</c:v>
                </c:pt>
                <c:pt idx="161">
                  <c:v>42514</c:v>
                </c:pt>
                <c:pt idx="162">
                  <c:v>42515</c:v>
                </c:pt>
                <c:pt idx="163">
                  <c:v>42516</c:v>
                </c:pt>
                <c:pt idx="164">
                  <c:v>42517</c:v>
                </c:pt>
                <c:pt idx="165">
                  <c:v>42521</c:v>
                </c:pt>
                <c:pt idx="166">
                  <c:v>42522</c:v>
                </c:pt>
                <c:pt idx="167">
                  <c:v>42523</c:v>
                </c:pt>
                <c:pt idx="168">
                  <c:v>42524</c:v>
                </c:pt>
                <c:pt idx="169">
                  <c:v>42527</c:v>
                </c:pt>
                <c:pt idx="170">
                  <c:v>42528</c:v>
                </c:pt>
                <c:pt idx="171">
                  <c:v>42529</c:v>
                </c:pt>
                <c:pt idx="172">
                  <c:v>42530</c:v>
                </c:pt>
                <c:pt idx="173">
                  <c:v>42531</c:v>
                </c:pt>
                <c:pt idx="174">
                  <c:v>42534</c:v>
                </c:pt>
                <c:pt idx="175">
                  <c:v>42535</c:v>
                </c:pt>
                <c:pt idx="176">
                  <c:v>42536</c:v>
                </c:pt>
                <c:pt idx="177">
                  <c:v>42537</c:v>
                </c:pt>
                <c:pt idx="178">
                  <c:v>42538</c:v>
                </c:pt>
                <c:pt idx="179">
                  <c:v>42541</c:v>
                </c:pt>
                <c:pt idx="180">
                  <c:v>42542</c:v>
                </c:pt>
                <c:pt idx="181">
                  <c:v>42543</c:v>
                </c:pt>
                <c:pt idx="182">
                  <c:v>42544</c:v>
                </c:pt>
                <c:pt idx="183">
                  <c:v>42545</c:v>
                </c:pt>
                <c:pt idx="184">
                  <c:v>42548</c:v>
                </c:pt>
                <c:pt idx="185">
                  <c:v>42549</c:v>
                </c:pt>
                <c:pt idx="186">
                  <c:v>42550</c:v>
                </c:pt>
                <c:pt idx="187">
                  <c:v>42551</c:v>
                </c:pt>
                <c:pt idx="188">
                  <c:v>42552</c:v>
                </c:pt>
                <c:pt idx="189">
                  <c:v>42556</c:v>
                </c:pt>
                <c:pt idx="190">
                  <c:v>42557</c:v>
                </c:pt>
                <c:pt idx="191">
                  <c:v>42558</c:v>
                </c:pt>
                <c:pt idx="192">
                  <c:v>42559</c:v>
                </c:pt>
                <c:pt idx="193">
                  <c:v>42562</c:v>
                </c:pt>
                <c:pt idx="194">
                  <c:v>42563</c:v>
                </c:pt>
                <c:pt idx="195">
                  <c:v>42564</c:v>
                </c:pt>
                <c:pt idx="196">
                  <c:v>42565</c:v>
                </c:pt>
                <c:pt idx="197">
                  <c:v>42566</c:v>
                </c:pt>
                <c:pt idx="198">
                  <c:v>42569</c:v>
                </c:pt>
                <c:pt idx="199">
                  <c:v>42570</c:v>
                </c:pt>
                <c:pt idx="200">
                  <c:v>42571</c:v>
                </c:pt>
                <c:pt idx="201">
                  <c:v>42572</c:v>
                </c:pt>
                <c:pt idx="202">
                  <c:v>42573</c:v>
                </c:pt>
                <c:pt idx="203">
                  <c:v>42576</c:v>
                </c:pt>
                <c:pt idx="204">
                  <c:v>42577</c:v>
                </c:pt>
                <c:pt idx="205">
                  <c:v>42578</c:v>
                </c:pt>
                <c:pt idx="206">
                  <c:v>42579</c:v>
                </c:pt>
                <c:pt idx="207">
                  <c:v>42580</c:v>
                </c:pt>
                <c:pt idx="208">
                  <c:v>42583</c:v>
                </c:pt>
                <c:pt idx="209">
                  <c:v>42584</c:v>
                </c:pt>
                <c:pt idx="210">
                  <c:v>42585</c:v>
                </c:pt>
                <c:pt idx="211">
                  <c:v>42586</c:v>
                </c:pt>
                <c:pt idx="212">
                  <c:v>42587</c:v>
                </c:pt>
                <c:pt idx="213">
                  <c:v>42590</c:v>
                </c:pt>
                <c:pt idx="214">
                  <c:v>42591</c:v>
                </c:pt>
                <c:pt idx="215">
                  <c:v>42592</c:v>
                </c:pt>
                <c:pt idx="216">
                  <c:v>42593</c:v>
                </c:pt>
                <c:pt idx="217">
                  <c:v>42594</c:v>
                </c:pt>
                <c:pt idx="218">
                  <c:v>42597</c:v>
                </c:pt>
                <c:pt idx="219">
                  <c:v>42598</c:v>
                </c:pt>
                <c:pt idx="220">
                  <c:v>42599</c:v>
                </c:pt>
                <c:pt idx="221">
                  <c:v>42600</c:v>
                </c:pt>
                <c:pt idx="222">
                  <c:v>42601</c:v>
                </c:pt>
                <c:pt idx="223">
                  <c:v>42604</c:v>
                </c:pt>
                <c:pt idx="224">
                  <c:v>42605</c:v>
                </c:pt>
                <c:pt idx="225">
                  <c:v>42606</c:v>
                </c:pt>
                <c:pt idx="226">
                  <c:v>42607</c:v>
                </c:pt>
                <c:pt idx="227">
                  <c:v>42608</c:v>
                </c:pt>
                <c:pt idx="228">
                  <c:v>42611</c:v>
                </c:pt>
                <c:pt idx="229">
                  <c:v>42612</c:v>
                </c:pt>
                <c:pt idx="230">
                  <c:v>42613</c:v>
                </c:pt>
                <c:pt idx="231">
                  <c:v>42614</c:v>
                </c:pt>
                <c:pt idx="232">
                  <c:v>42615</c:v>
                </c:pt>
                <c:pt idx="233">
                  <c:v>42619</c:v>
                </c:pt>
                <c:pt idx="234">
                  <c:v>42620</c:v>
                </c:pt>
                <c:pt idx="235">
                  <c:v>42621</c:v>
                </c:pt>
                <c:pt idx="236">
                  <c:v>42622</c:v>
                </c:pt>
                <c:pt idx="237">
                  <c:v>42625</c:v>
                </c:pt>
                <c:pt idx="238">
                  <c:v>42626</c:v>
                </c:pt>
                <c:pt idx="239">
                  <c:v>42627</c:v>
                </c:pt>
                <c:pt idx="240">
                  <c:v>42628</c:v>
                </c:pt>
                <c:pt idx="241">
                  <c:v>42629</c:v>
                </c:pt>
                <c:pt idx="242">
                  <c:v>42632</c:v>
                </c:pt>
                <c:pt idx="243">
                  <c:v>42633</c:v>
                </c:pt>
                <c:pt idx="244">
                  <c:v>42634</c:v>
                </c:pt>
                <c:pt idx="245">
                  <c:v>42635</c:v>
                </c:pt>
                <c:pt idx="246">
                  <c:v>42636</c:v>
                </c:pt>
                <c:pt idx="247">
                  <c:v>42639</c:v>
                </c:pt>
                <c:pt idx="248">
                  <c:v>42640</c:v>
                </c:pt>
                <c:pt idx="249">
                  <c:v>42641</c:v>
                </c:pt>
                <c:pt idx="250">
                  <c:v>42642</c:v>
                </c:pt>
              </c:numCache>
            </c:numRef>
          </c:cat>
          <c:val>
            <c:numRef>
              <c:f>Data!$E$2:$E$252</c:f>
              <c:numCache>
                <c:formatCode>General</c:formatCode>
                <c:ptCount val="251"/>
                <c:pt idx="0">
                  <c:v>45.57</c:v>
                </c:pt>
                <c:pt idx="1">
                  <c:v>46.630001</c:v>
                </c:pt>
                <c:pt idx="2">
                  <c:v>46.75</c:v>
                </c:pt>
                <c:pt idx="3">
                  <c:v>46.799999</c:v>
                </c:pt>
                <c:pt idx="4">
                  <c:v>47.450001</c:v>
                </c:pt>
                <c:pt idx="5">
                  <c:v>47.110000999999997</c:v>
                </c:pt>
                <c:pt idx="6">
                  <c:v>47</c:v>
                </c:pt>
                <c:pt idx="7">
                  <c:v>46.889999000000003</c:v>
                </c:pt>
                <c:pt idx="8">
                  <c:v>46.68</c:v>
                </c:pt>
                <c:pt idx="9">
                  <c:v>47.009998000000003</c:v>
                </c:pt>
                <c:pt idx="10">
                  <c:v>47.509998000000003</c:v>
                </c:pt>
                <c:pt idx="11">
                  <c:v>47.619999</c:v>
                </c:pt>
                <c:pt idx="12">
                  <c:v>47.77</c:v>
                </c:pt>
                <c:pt idx="13">
                  <c:v>47.200001</c:v>
                </c:pt>
                <c:pt idx="14">
                  <c:v>48.029998999999997</c:v>
                </c:pt>
                <c:pt idx="15">
                  <c:v>52.869999</c:v>
                </c:pt>
                <c:pt idx="16">
                  <c:v>54.25</c:v>
                </c:pt>
                <c:pt idx="17">
                  <c:v>53.689999</c:v>
                </c:pt>
                <c:pt idx="18">
                  <c:v>53.98</c:v>
                </c:pt>
                <c:pt idx="19">
                  <c:v>53.360000999999997</c:v>
                </c:pt>
                <c:pt idx="20">
                  <c:v>52.639999000000003</c:v>
                </c:pt>
                <c:pt idx="21">
                  <c:v>53.240001999999997</c:v>
                </c:pt>
                <c:pt idx="22">
                  <c:v>54.150002000000001</c:v>
                </c:pt>
                <c:pt idx="23">
                  <c:v>54.400002000000001</c:v>
                </c:pt>
                <c:pt idx="24">
                  <c:v>54.380001</c:v>
                </c:pt>
                <c:pt idx="25">
                  <c:v>54.919998</c:v>
                </c:pt>
                <c:pt idx="26">
                  <c:v>54.16</c:v>
                </c:pt>
                <c:pt idx="27">
                  <c:v>53.509998000000003</c:v>
                </c:pt>
                <c:pt idx="28">
                  <c:v>53.650002000000001</c:v>
                </c:pt>
                <c:pt idx="29">
                  <c:v>53.32</c:v>
                </c:pt>
                <c:pt idx="30">
                  <c:v>52.84</c:v>
                </c:pt>
                <c:pt idx="31">
                  <c:v>53.77</c:v>
                </c:pt>
                <c:pt idx="32">
                  <c:v>52.970001000000003</c:v>
                </c:pt>
                <c:pt idx="33">
                  <c:v>53.849997999999999</c:v>
                </c:pt>
                <c:pt idx="34">
                  <c:v>53.939999</c:v>
                </c:pt>
                <c:pt idx="35">
                  <c:v>54.189999</c:v>
                </c:pt>
                <c:pt idx="36">
                  <c:v>54.189999</c:v>
                </c:pt>
                <c:pt idx="37">
                  <c:v>54.25</c:v>
                </c:pt>
                <c:pt idx="38">
                  <c:v>53.689999</c:v>
                </c:pt>
                <c:pt idx="39">
                  <c:v>53.93</c:v>
                </c:pt>
                <c:pt idx="40">
                  <c:v>54.349997999999999</c:v>
                </c:pt>
                <c:pt idx="41">
                  <c:v>55.220001000000003</c:v>
                </c:pt>
                <c:pt idx="42">
                  <c:v>55.209999000000003</c:v>
                </c:pt>
                <c:pt idx="43">
                  <c:v>54.200001</c:v>
                </c:pt>
                <c:pt idx="44">
                  <c:v>55.91</c:v>
                </c:pt>
                <c:pt idx="45">
                  <c:v>55.810001</c:v>
                </c:pt>
                <c:pt idx="46">
                  <c:v>55.790000999999997</c:v>
                </c:pt>
                <c:pt idx="47">
                  <c:v>54.98</c:v>
                </c:pt>
                <c:pt idx="48">
                  <c:v>55.27</c:v>
                </c:pt>
                <c:pt idx="49">
                  <c:v>54.060001</c:v>
                </c:pt>
                <c:pt idx="50">
                  <c:v>55.139999000000003</c:v>
                </c:pt>
                <c:pt idx="51">
                  <c:v>55.200001</c:v>
                </c:pt>
                <c:pt idx="52">
                  <c:v>56.130001</c:v>
                </c:pt>
                <c:pt idx="53">
                  <c:v>55.700001</c:v>
                </c:pt>
                <c:pt idx="54">
                  <c:v>54.130001</c:v>
                </c:pt>
                <c:pt idx="55">
                  <c:v>54.830002</c:v>
                </c:pt>
                <c:pt idx="56">
                  <c:v>55.349997999999999</c:v>
                </c:pt>
                <c:pt idx="57">
                  <c:v>55.82</c:v>
                </c:pt>
                <c:pt idx="58">
                  <c:v>55.669998</c:v>
                </c:pt>
                <c:pt idx="59">
                  <c:v>55.950001</c:v>
                </c:pt>
                <c:pt idx="60">
                  <c:v>56.549999</c:v>
                </c:pt>
                <c:pt idx="61">
                  <c:v>56.310001</c:v>
                </c:pt>
                <c:pt idx="62">
                  <c:v>55.48</c:v>
                </c:pt>
                <c:pt idx="63">
                  <c:v>54.799999</c:v>
                </c:pt>
                <c:pt idx="64">
                  <c:v>55.049999</c:v>
                </c:pt>
                <c:pt idx="65">
                  <c:v>54.049999</c:v>
                </c:pt>
                <c:pt idx="66">
                  <c:v>52.169998</c:v>
                </c:pt>
                <c:pt idx="67">
                  <c:v>52.330002</c:v>
                </c:pt>
                <c:pt idx="68">
                  <c:v>52.299999</c:v>
                </c:pt>
                <c:pt idx="69">
                  <c:v>52.779998999999997</c:v>
                </c:pt>
                <c:pt idx="70">
                  <c:v>51.639999000000003</c:v>
                </c:pt>
                <c:pt idx="71">
                  <c:v>53.110000999999997</c:v>
                </c:pt>
                <c:pt idx="72">
                  <c:v>50.990001999999997</c:v>
                </c:pt>
                <c:pt idx="73">
                  <c:v>50.560001</c:v>
                </c:pt>
                <c:pt idx="74">
                  <c:v>50.790000999999997</c:v>
                </c:pt>
                <c:pt idx="75">
                  <c:v>50.48</c:v>
                </c:pt>
                <c:pt idx="76">
                  <c:v>52.290000999999997</c:v>
                </c:pt>
                <c:pt idx="77">
                  <c:v>51.790000999999997</c:v>
                </c:pt>
                <c:pt idx="78">
                  <c:v>52.169998</c:v>
                </c:pt>
                <c:pt idx="79">
                  <c:v>51.220001000000003</c:v>
                </c:pt>
                <c:pt idx="80">
                  <c:v>52.060001</c:v>
                </c:pt>
                <c:pt idx="81">
                  <c:v>55.09</c:v>
                </c:pt>
                <c:pt idx="82">
                  <c:v>54.709999000000003</c:v>
                </c:pt>
                <c:pt idx="83">
                  <c:v>53</c:v>
                </c:pt>
                <c:pt idx="84">
                  <c:v>52.16</c:v>
                </c:pt>
                <c:pt idx="85">
                  <c:v>52</c:v>
                </c:pt>
                <c:pt idx="86">
                  <c:v>50.16</c:v>
                </c:pt>
                <c:pt idx="87">
                  <c:v>49.41</c:v>
                </c:pt>
                <c:pt idx="88">
                  <c:v>49.279998999999997</c:v>
                </c:pt>
                <c:pt idx="89">
                  <c:v>49.709999000000003</c:v>
                </c:pt>
                <c:pt idx="90">
                  <c:v>49.689999</c:v>
                </c:pt>
                <c:pt idx="91">
                  <c:v>50.5</c:v>
                </c:pt>
                <c:pt idx="92">
                  <c:v>51.09</c:v>
                </c:pt>
                <c:pt idx="93">
                  <c:v>52.419998</c:v>
                </c:pt>
                <c:pt idx="94">
                  <c:v>52.189999</c:v>
                </c:pt>
                <c:pt idx="95">
                  <c:v>51.82</c:v>
                </c:pt>
                <c:pt idx="96">
                  <c:v>52.650002000000001</c:v>
                </c:pt>
                <c:pt idx="97">
                  <c:v>51.18</c:v>
                </c:pt>
                <c:pt idx="98">
                  <c:v>51.360000999999997</c:v>
                </c:pt>
                <c:pt idx="99">
                  <c:v>52.099997999999999</c:v>
                </c:pt>
                <c:pt idx="100">
                  <c:v>51.299999</c:v>
                </c:pt>
                <c:pt idx="101">
                  <c:v>50.880001</c:v>
                </c:pt>
                <c:pt idx="102">
                  <c:v>52.580002</c:v>
                </c:pt>
                <c:pt idx="103">
                  <c:v>52.950001</c:v>
                </c:pt>
                <c:pt idx="104">
                  <c:v>52.349997999999999</c:v>
                </c:pt>
                <c:pt idx="105">
                  <c:v>52.029998999999997</c:v>
                </c:pt>
                <c:pt idx="106">
                  <c:v>51.029998999999997</c:v>
                </c:pt>
                <c:pt idx="107">
                  <c:v>51.650002000000001</c:v>
                </c:pt>
                <c:pt idx="108">
                  <c:v>52.84</c:v>
                </c:pt>
                <c:pt idx="109">
                  <c:v>52.049999</c:v>
                </c:pt>
                <c:pt idx="110">
                  <c:v>53.07</c:v>
                </c:pt>
                <c:pt idx="111">
                  <c:v>53.169998</c:v>
                </c:pt>
                <c:pt idx="112">
                  <c:v>53.59</c:v>
                </c:pt>
                <c:pt idx="113">
                  <c:v>54.349997999999999</c:v>
                </c:pt>
                <c:pt idx="114">
                  <c:v>54.66</c:v>
                </c:pt>
                <c:pt idx="115">
                  <c:v>53.490001999999997</c:v>
                </c:pt>
                <c:pt idx="116">
                  <c:v>53.860000999999997</c:v>
                </c:pt>
                <c:pt idx="117">
                  <c:v>54.07</c:v>
                </c:pt>
                <c:pt idx="118">
                  <c:v>53.970001000000003</c:v>
                </c:pt>
                <c:pt idx="119">
                  <c:v>54.209999000000003</c:v>
                </c:pt>
                <c:pt idx="120">
                  <c:v>53.540000999999997</c:v>
                </c:pt>
                <c:pt idx="121">
                  <c:v>54.709999000000003</c:v>
                </c:pt>
                <c:pt idx="122">
                  <c:v>55.049999</c:v>
                </c:pt>
                <c:pt idx="123">
                  <c:v>55.23</c:v>
                </c:pt>
                <c:pt idx="124">
                  <c:v>55.57</c:v>
                </c:pt>
                <c:pt idx="125">
                  <c:v>55.43</c:v>
                </c:pt>
                <c:pt idx="126">
                  <c:v>54.560001</c:v>
                </c:pt>
                <c:pt idx="127">
                  <c:v>55.119999</c:v>
                </c:pt>
                <c:pt idx="128">
                  <c:v>54.459999000000003</c:v>
                </c:pt>
                <c:pt idx="129">
                  <c:v>54.419998</c:v>
                </c:pt>
                <c:pt idx="130">
                  <c:v>54.310001</c:v>
                </c:pt>
                <c:pt idx="131">
                  <c:v>54.650002000000001</c:v>
                </c:pt>
                <c:pt idx="132">
                  <c:v>55.349997999999999</c:v>
                </c:pt>
                <c:pt idx="133">
                  <c:v>55.360000999999997</c:v>
                </c:pt>
                <c:pt idx="134">
                  <c:v>55.650002000000001</c:v>
                </c:pt>
                <c:pt idx="135">
                  <c:v>56.459999000000003</c:v>
                </c:pt>
                <c:pt idx="136">
                  <c:v>56.389999000000003</c:v>
                </c:pt>
                <c:pt idx="137">
                  <c:v>55.59</c:v>
                </c:pt>
                <c:pt idx="138">
                  <c:v>55.779998999999997</c:v>
                </c:pt>
                <c:pt idx="139">
                  <c:v>51.779998999999997</c:v>
                </c:pt>
                <c:pt idx="140">
                  <c:v>52.110000999999997</c:v>
                </c:pt>
                <c:pt idx="141">
                  <c:v>51.439999</c:v>
                </c:pt>
                <c:pt idx="142">
                  <c:v>50.939999</c:v>
                </c:pt>
                <c:pt idx="143">
                  <c:v>49.900002000000001</c:v>
                </c:pt>
                <c:pt idx="144">
                  <c:v>49.869999</c:v>
                </c:pt>
                <c:pt idx="145">
                  <c:v>50.610000999999997</c:v>
                </c:pt>
                <c:pt idx="146">
                  <c:v>49.779998999999997</c:v>
                </c:pt>
                <c:pt idx="147">
                  <c:v>49.869999</c:v>
                </c:pt>
                <c:pt idx="148">
                  <c:v>49.939999</c:v>
                </c:pt>
                <c:pt idx="149">
                  <c:v>50.389999000000003</c:v>
                </c:pt>
                <c:pt idx="150">
                  <c:v>50.07</c:v>
                </c:pt>
                <c:pt idx="151">
                  <c:v>51.02</c:v>
                </c:pt>
                <c:pt idx="152">
                  <c:v>51.049999</c:v>
                </c:pt>
                <c:pt idx="153">
                  <c:v>51.509998000000003</c:v>
                </c:pt>
                <c:pt idx="154">
                  <c:v>51.080002</c:v>
                </c:pt>
                <c:pt idx="155">
                  <c:v>51.830002</c:v>
                </c:pt>
                <c:pt idx="156">
                  <c:v>50.509998000000003</c:v>
                </c:pt>
                <c:pt idx="157">
                  <c:v>50.810001</c:v>
                </c:pt>
                <c:pt idx="158">
                  <c:v>50.32</c:v>
                </c:pt>
                <c:pt idx="159">
                  <c:v>50.619999</c:v>
                </c:pt>
                <c:pt idx="160">
                  <c:v>50.029998999999997</c:v>
                </c:pt>
                <c:pt idx="161">
                  <c:v>51.59</c:v>
                </c:pt>
                <c:pt idx="162">
                  <c:v>52.119999</c:v>
                </c:pt>
                <c:pt idx="163">
                  <c:v>51.889999000000003</c:v>
                </c:pt>
                <c:pt idx="164">
                  <c:v>52.32</c:v>
                </c:pt>
                <c:pt idx="165">
                  <c:v>53</c:v>
                </c:pt>
                <c:pt idx="166">
                  <c:v>52.849997999999999</c:v>
                </c:pt>
                <c:pt idx="167">
                  <c:v>52.48</c:v>
                </c:pt>
                <c:pt idx="168">
                  <c:v>51.790000999999997</c:v>
                </c:pt>
                <c:pt idx="169">
                  <c:v>52.130001</c:v>
                </c:pt>
                <c:pt idx="170">
                  <c:v>52.099997999999999</c:v>
                </c:pt>
                <c:pt idx="171">
                  <c:v>52.040000999999997</c:v>
                </c:pt>
                <c:pt idx="172">
                  <c:v>51.619999</c:v>
                </c:pt>
                <c:pt idx="173">
                  <c:v>51.48</c:v>
                </c:pt>
                <c:pt idx="174">
                  <c:v>50.139999000000003</c:v>
                </c:pt>
                <c:pt idx="175">
                  <c:v>49.830002</c:v>
                </c:pt>
                <c:pt idx="176">
                  <c:v>49.689999</c:v>
                </c:pt>
                <c:pt idx="177">
                  <c:v>50.389999000000003</c:v>
                </c:pt>
                <c:pt idx="178">
                  <c:v>50.130001</c:v>
                </c:pt>
                <c:pt idx="179">
                  <c:v>50.07</c:v>
                </c:pt>
                <c:pt idx="180">
                  <c:v>51.189999</c:v>
                </c:pt>
                <c:pt idx="181">
                  <c:v>50.990001999999997</c:v>
                </c:pt>
                <c:pt idx="182">
                  <c:v>51.91</c:v>
                </c:pt>
                <c:pt idx="183">
                  <c:v>49.830002</c:v>
                </c:pt>
                <c:pt idx="184">
                  <c:v>48.43</c:v>
                </c:pt>
                <c:pt idx="185">
                  <c:v>49.439999</c:v>
                </c:pt>
                <c:pt idx="186">
                  <c:v>50.540000999999997</c:v>
                </c:pt>
                <c:pt idx="187">
                  <c:v>51.169998</c:v>
                </c:pt>
                <c:pt idx="188">
                  <c:v>51.16</c:v>
                </c:pt>
                <c:pt idx="189">
                  <c:v>51.169998</c:v>
                </c:pt>
                <c:pt idx="190">
                  <c:v>51.380001</c:v>
                </c:pt>
                <c:pt idx="191">
                  <c:v>51.380001</c:v>
                </c:pt>
                <c:pt idx="192">
                  <c:v>52.299999</c:v>
                </c:pt>
                <c:pt idx="193">
                  <c:v>52.59</c:v>
                </c:pt>
                <c:pt idx="194">
                  <c:v>53.209999000000003</c:v>
                </c:pt>
                <c:pt idx="195">
                  <c:v>53.509998000000003</c:v>
                </c:pt>
                <c:pt idx="196">
                  <c:v>53.740001999999997</c:v>
                </c:pt>
                <c:pt idx="197">
                  <c:v>53.700001</c:v>
                </c:pt>
                <c:pt idx="198">
                  <c:v>53.959999000000003</c:v>
                </c:pt>
                <c:pt idx="199">
                  <c:v>53.09</c:v>
                </c:pt>
                <c:pt idx="200">
                  <c:v>55.91</c:v>
                </c:pt>
                <c:pt idx="201">
                  <c:v>55.799999</c:v>
                </c:pt>
                <c:pt idx="202">
                  <c:v>56.57</c:v>
                </c:pt>
                <c:pt idx="203">
                  <c:v>56.73</c:v>
                </c:pt>
                <c:pt idx="204">
                  <c:v>56.759998000000003</c:v>
                </c:pt>
                <c:pt idx="205">
                  <c:v>56.189999</c:v>
                </c:pt>
                <c:pt idx="206">
                  <c:v>56.209999000000003</c:v>
                </c:pt>
                <c:pt idx="207">
                  <c:v>56.68</c:v>
                </c:pt>
                <c:pt idx="208">
                  <c:v>56.580002</c:v>
                </c:pt>
                <c:pt idx="209">
                  <c:v>56.580002</c:v>
                </c:pt>
                <c:pt idx="210">
                  <c:v>56.970001000000003</c:v>
                </c:pt>
                <c:pt idx="211">
                  <c:v>57.389999000000003</c:v>
                </c:pt>
                <c:pt idx="212">
                  <c:v>57.959999000000003</c:v>
                </c:pt>
                <c:pt idx="213">
                  <c:v>58.060001</c:v>
                </c:pt>
                <c:pt idx="214">
                  <c:v>58.200001</c:v>
                </c:pt>
                <c:pt idx="215">
                  <c:v>58.02</c:v>
                </c:pt>
                <c:pt idx="216">
                  <c:v>58.299999</c:v>
                </c:pt>
                <c:pt idx="217">
                  <c:v>57.939999</c:v>
                </c:pt>
                <c:pt idx="218">
                  <c:v>58.119999</c:v>
                </c:pt>
                <c:pt idx="219">
                  <c:v>57.439999</c:v>
                </c:pt>
                <c:pt idx="220">
                  <c:v>57.560001</c:v>
                </c:pt>
                <c:pt idx="221">
                  <c:v>57.599997999999999</c:v>
                </c:pt>
                <c:pt idx="222">
                  <c:v>57.619999</c:v>
                </c:pt>
                <c:pt idx="223">
                  <c:v>57.669998</c:v>
                </c:pt>
                <c:pt idx="224">
                  <c:v>57.889999000000003</c:v>
                </c:pt>
                <c:pt idx="225">
                  <c:v>57.950001</c:v>
                </c:pt>
                <c:pt idx="226">
                  <c:v>58.169998</c:v>
                </c:pt>
                <c:pt idx="227">
                  <c:v>58.029998999999997</c:v>
                </c:pt>
                <c:pt idx="228">
                  <c:v>58.099997999999999</c:v>
                </c:pt>
                <c:pt idx="229">
                  <c:v>57.889999000000003</c:v>
                </c:pt>
                <c:pt idx="230">
                  <c:v>57.459999000000003</c:v>
                </c:pt>
                <c:pt idx="231">
                  <c:v>57.59</c:v>
                </c:pt>
                <c:pt idx="232">
                  <c:v>57.669998</c:v>
                </c:pt>
                <c:pt idx="233">
                  <c:v>57.610000999999997</c:v>
                </c:pt>
                <c:pt idx="234">
                  <c:v>57.66</c:v>
                </c:pt>
                <c:pt idx="235">
                  <c:v>57.43</c:v>
                </c:pt>
                <c:pt idx="236">
                  <c:v>56.209999000000003</c:v>
                </c:pt>
                <c:pt idx="237">
                  <c:v>57.049999</c:v>
                </c:pt>
                <c:pt idx="238">
                  <c:v>56.529998999999997</c:v>
                </c:pt>
                <c:pt idx="239">
                  <c:v>56.259998000000003</c:v>
                </c:pt>
                <c:pt idx="240">
                  <c:v>57.189999</c:v>
                </c:pt>
                <c:pt idx="241">
                  <c:v>57.25</c:v>
                </c:pt>
                <c:pt idx="242">
                  <c:v>56.93</c:v>
                </c:pt>
                <c:pt idx="243">
                  <c:v>56.810001</c:v>
                </c:pt>
                <c:pt idx="244">
                  <c:v>57.759998000000003</c:v>
                </c:pt>
                <c:pt idx="245">
                  <c:v>57.82</c:v>
                </c:pt>
                <c:pt idx="246">
                  <c:v>57.43</c:v>
                </c:pt>
                <c:pt idx="247">
                  <c:v>56.900002000000001</c:v>
                </c:pt>
                <c:pt idx="248">
                  <c:v>57.950001</c:v>
                </c:pt>
                <c:pt idx="249">
                  <c:v>58.029998999999997</c:v>
                </c:pt>
                <c:pt idx="250">
                  <c:v>57.400002000000001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22912"/>
        <c:axId val="298900224"/>
      </c:lineChart>
      <c:lineChart>
        <c:grouping val="standard"/>
        <c:varyColors val="0"/>
        <c:ser>
          <c:idx val="1"/>
          <c:order val="1"/>
          <c:tx>
            <c:v>Money Flow Index</c:v>
          </c:tx>
          <c:spPr>
            <a:ln w="12700"/>
          </c:spPr>
          <c:marker>
            <c:symbol val="none"/>
          </c:marker>
          <c:cat>
            <c:numRef>
              <c:f>Data!$A$2:$A$252</c:f>
              <c:numCache>
                <c:formatCode>m/d/yyyy</c:formatCode>
                <c:ptCount val="251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42335</c:v>
                </c:pt>
                <c:pt idx="40">
                  <c:v>42338</c:v>
                </c:pt>
                <c:pt idx="41">
                  <c:v>42339</c:v>
                </c:pt>
                <c:pt idx="42">
                  <c:v>42340</c:v>
                </c:pt>
                <c:pt idx="43">
                  <c:v>42341</c:v>
                </c:pt>
                <c:pt idx="44">
                  <c:v>42342</c:v>
                </c:pt>
                <c:pt idx="45">
                  <c:v>42345</c:v>
                </c:pt>
                <c:pt idx="46">
                  <c:v>42346</c:v>
                </c:pt>
                <c:pt idx="47">
                  <c:v>42347</c:v>
                </c:pt>
                <c:pt idx="48">
                  <c:v>42348</c:v>
                </c:pt>
                <c:pt idx="49">
                  <c:v>42349</c:v>
                </c:pt>
                <c:pt idx="50">
                  <c:v>42352</c:v>
                </c:pt>
                <c:pt idx="51">
                  <c:v>42353</c:v>
                </c:pt>
                <c:pt idx="52">
                  <c:v>42354</c:v>
                </c:pt>
                <c:pt idx="53">
                  <c:v>42355</c:v>
                </c:pt>
                <c:pt idx="54">
                  <c:v>42356</c:v>
                </c:pt>
                <c:pt idx="55">
                  <c:v>42359</c:v>
                </c:pt>
                <c:pt idx="56">
                  <c:v>42360</c:v>
                </c:pt>
                <c:pt idx="57">
                  <c:v>42361</c:v>
                </c:pt>
                <c:pt idx="58">
                  <c:v>42362</c:v>
                </c:pt>
                <c:pt idx="59">
                  <c:v>42366</c:v>
                </c:pt>
                <c:pt idx="60">
                  <c:v>42367</c:v>
                </c:pt>
                <c:pt idx="61">
                  <c:v>42368</c:v>
                </c:pt>
                <c:pt idx="62">
                  <c:v>42369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42380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42388</c:v>
                </c:pt>
                <c:pt idx="74">
                  <c:v>42389</c:v>
                </c:pt>
                <c:pt idx="75">
                  <c:v>42390</c:v>
                </c:pt>
                <c:pt idx="76">
                  <c:v>42391</c:v>
                </c:pt>
                <c:pt idx="77">
                  <c:v>42394</c:v>
                </c:pt>
                <c:pt idx="78">
                  <c:v>42395</c:v>
                </c:pt>
                <c:pt idx="79">
                  <c:v>42396</c:v>
                </c:pt>
                <c:pt idx="80">
                  <c:v>42397</c:v>
                </c:pt>
                <c:pt idx="81">
                  <c:v>42398</c:v>
                </c:pt>
                <c:pt idx="82">
                  <c:v>42401</c:v>
                </c:pt>
                <c:pt idx="83">
                  <c:v>42402</c:v>
                </c:pt>
                <c:pt idx="84">
                  <c:v>42403</c:v>
                </c:pt>
                <c:pt idx="85">
                  <c:v>42404</c:v>
                </c:pt>
                <c:pt idx="86">
                  <c:v>42405</c:v>
                </c:pt>
                <c:pt idx="87">
                  <c:v>42408</c:v>
                </c:pt>
                <c:pt idx="88">
                  <c:v>42409</c:v>
                </c:pt>
                <c:pt idx="89">
                  <c:v>42410</c:v>
                </c:pt>
                <c:pt idx="90">
                  <c:v>42411</c:v>
                </c:pt>
                <c:pt idx="91">
                  <c:v>42412</c:v>
                </c:pt>
                <c:pt idx="92">
                  <c:v>42416</c:v>
                </c:pt>
                <c:pt idx="93">
                  <c:v>42417</c:v>
                </c:pt>
                <c:pt idx="94">
                  <c:v>42418</c:v>
                </c:pt>
                <c:pt idx="95">
                  <c:v>42419</c:v>
                </c:pt>
                <c:pt idx="96">
                  <c:v>42422</c:v>
                </c:pt>
                <c:pt idx="97">
                  <c:v>42423</c:v>
                </c:pt>
                <c:pt idx="98">
                  <c:v>42424</c:v>
                </c:pt>
                <c:pt idx="99">
                  <c:v>42425</c:v>
                </c:pt>
                <c:pt idx="100">
                  <c:v>42426</c:v>
                </c:pt>
                <c:pt idx="101">
                  <c:v>42429</c:v>
                </c:pt>
                <c:pt idx="102">
                  <c:v>42430</c:v>
                </c:pt>
                <c:pt idx="103">
                  <c:v>42431</c:v>
                </c:pt>
                <c:pt idx="104">
                  <c:v>42432</c:v>
                </c:pt>
                <c:pt idx="105">
                  <c:v>42433</c:v>
                </c:pt>
                <c:pt idx="106">
                  <c:v>42436</c:v>
                </c:pt>
                <c:pt idx="107">
                  <c:v>42437</c:v>
                </c:pt>
                <c:pt idx="108">
                  <c:v>42438</c:v>
                </c:pt>
                <c:pt idx="109">
                  <c:v>42439</c:v>
                </c:pt>
                <c:pt idx="110">
                  <c:v>42440</c:v>
                </c:pt>
                <c:pt idx="111">
                  <c:v>42443</c:v>
                </c:pt>
                <c:pt idx="112">
                  <c:v>42444</c:v>
                </c:pt>
                <c:pt idx="113">
                  <c:v>42445</c:v>
                </c:pt>
                <c:pt idx="114">
                  <c:v>42446</c:v>
                </c:pt>
                <c:pt idx="115">
                  <c:v>42447</c:v>
                </c:pt>
                <c:pt idx="116">
                  <c:v>42450</c:v>
                </c:pt>
                <c:pt idx="117">
                  <c:v>42451</c:v>
                </c:pt>
                <c:pt idx="118">
                  <c:v>42452</c:v>
                </c:pt>
                <c:pt idx="119">
                  <c:v>42453</c:v>
                </c:pt>
                <c:pt idx="120">
                  <c:v>42457</c:v>
                </c:pt>
                <c:pt idx="121">
                  <c:v>42458</c:v>
                </c:pt>
                <c:pt idx="122">
                  <c:v>42459</c:v>
                </c:pt>
                <c:pt idx="123">
                  <c:v>42460</c:v>
                </c:pt>
                <c:pt idx="124">
                  <c:v>42461</c:v>
                </c:pt>
                <c:pt idx="125">
                  <c:v>42464</c:v>
                </c:pt>
                <c:pt idx="126">
                  <c:v>42465</c:v>
                </c:pt>
                <c:pt idx="127">
                  <c:v>42466</c:v>
                </c:pt>
                <c:pt idx="128">
                  <c:v>42467</c:v>
                </c:pt>
                <c:pt idx="129">
                  <c:v>42468</c:v>
                </c:pt>
                <c:pt idx="130">
                  <c:v>42471</c:v>
                </c:pt>
                <c:pt idx="131">
                  <c:v>42472</c:v>
                </c:pt>
                <c:pt idx="132">
                  <c:v>42473</c:v>
                </c:pt>
                <c:pt idx="133">
                  <c:v>42474</c:v>
                </c:pt>
                <c:pt idx="134">
                  <c:v>42475</c:v>
                </c:pt>
                <c:pt idx="135">
                  <c:v>42478</c:v>
                </c:pt>
                <c:pt idx="136">
                  <c:v>42479</c:v>
                </c:pt>
                <c:pt idx="137">
                  <c:v>42480</c:v>
                </c:pt>
                <c:pt idx="138">
                  <c:v>42481</c:v>
                </c:pt>
                <c:pt idx="139">
                  <c:v>42482</c:v>
                </c:pt>
                <c:pt idx="140">
                  <c:v>42485</c:v>
                </c:pt>
                <c:pt idx="141">
                  <c:v>42486</c:v>
                </c:pt>
                <c:pt idx="142">
                  <c:v>42487</c:v>
                </c:pt>
                <c:pt idx="143">
                  <c:v>42488</c:v>
                </c:pt>
                <c:pt idx="144">
                  <c:v>42489</c:v>
                </c:pt>
                <c:pt idx="145">
                  <c:v>42492</c:v>
                </c:pt>
                <c:pt idx="146">
                  <c:v>42493</c:v>
                </c:pt>
                <c:pt idx="147">
                  <c:v>42494</c:v>
                </c:pt>
                <c:pt idx="148">
                  <c:v>42495</c:v>
                </c:pt>
                <c:pt idx="149">
                  <c:v>42496</c:v>
                </c:pt>
                <c:pt idx="150">
                  <c:v>42499</c:v>
                </c:pt>
                <c:pt idx="151">
                  <c:v>42500</c:v>
                </c:pt>
                <c:pt idx="152">
                  <c:v>42501</c:v>
                </c:pt>
                <c:pt idx="153">
                  <c:v>42502</c:v>
                </c:pt>
                <c:pt idx="154">
                  <c:v>42503</c:v>
                </c:pt>
                <c:pt idx="155">
                  <c:v>42506</c:v>
                </c:pt>
                <c:pt idx="156">
                  <c:v>42507</c:v>
                </c:pt>
                <c:pt idx="157">
                  <c:v>42508</c:v>
                </c:pt>
                <c:pt idx="158">
                  <c:v>42509</c:v>
                </c:pt>
                <c:pt idx="159">
                  <c:v>42510</c:v>
                </c:pt>
                <c:pt idx="160">
                  <c:v>42513</c:v>
                </c:pt>
                <c:pt idx="161">
                  <c:v>42514</c:v>
                </c:pt>
                <c:pt idx="162">
                  <c:v>42515</c:v>
                </c:pt>
                <c:pt idx="163">
                  <c:v>42516</c:v>
                </c:pt>
                <c:pt idx="164">
                  <c:v>42517</c:v>
                </c:pt>
                <c:pt idx="165">
                  <c:v>42521</c:v>
                </c:pt>
                <c:pt idx="166">
                  <c:v>42522</c:v>
                </c:pt>
                <c:pt idx="167">
                  <c:v>42523</c:v>
                </c:pt>
                <c:pt idx="168">
                  <c:v>42524</c:v>
                </c:pt>
                <c:pt idx="169">
                  <c:v>42527</c:v>
                </c:pt>
                <c:pt idx="170">
                  <c:v>42528</c:v>
                </c:pt>
                <c:pt idx="171">
                  <c:v>42529</c:v>
                </c:pt>
                <c:pt idx="172">
                  <c:v>42530</c:v>
                </c:pt>
                <c:pt idx="173">
                  <c:v>42531</c:v>
                </c:pt>
                <c:pt idx="174">
                  <c:v>42534</c:v>
                </c:pt>
                <c:pt idx="175">
                  <c:v>42535</c:v>
                </c:pt>
                <c:pt idx="176">
                  <c:v>42536</c:v>
                </c:pt>
                <c:pt idx="177">
                  <c:v>42537</c:v>
                </c:pt>
                <c:pt idx="178">
                  <c:v>42538</c:v>
                </c:pt>
                <c:pt idx="179">
                  <c:v>42541</c:v>
                </c:pt>
                <c:pt idx="180">
                  <c:v>42542</c:v>
                </c:pt>
                <c:pt idx="181">
                  <c:v>42543</c:v>
                </c:pt>
                <c:pt idx="182">
                  <c:v>42544</c:v>
                </c:pt>
                <c:pt idx="183">
                  <c:v>42545</c:v>
                </c:pt>
                <c:pt idx="184">
                  <c:v>42548</c:v>
                </c:pt>
                <c:pt idx="185">
                  <c:v>42549</c:v>
                </c:pt>
                <c:pt idx="186">
                  <c:v>42550</c:v>
                </c:pt>
                <c:pt idx="187">
                  <c:v>42551</c:v>
                </c:pt>
                <c:pt idx="188">
                  <c:v>42552</c:v>
                </c:pt>
                <c:pt idx="189">
                  <c:v>42556</c:v>
                </c:pt>
                <c:pt idx="190">
                  <c:v>42557</c:v>
                </c:pt>
                <c:pt idx="191">
                  <c:v>42558</c:v>
                </c:pt>
                <c:pt idx="192">
                  <c:v>42559</c:v>
                </c:pt>
                <c:pt idx="193">
                  <c:v>42562</c:v>
                </c:pt>
                <c:pt idx="194">
                  <c:v>42563</c:v>
                </c:pt>
                <c:pt idx="195">
                  <c:v>42564</c:v>
                </c:pt>
                <c:pt idx="196">
                  <c:v>42565</c:v>
                </c:pt>
                <c:pt idx="197">
                  <c:v>42566</c:v>
                </c:pt>
                <c:pt idx="198">
                  <c:v>42569</c:v>
                </c:pt>
                <c:pt idx="199">
                  <c:v>42570</c:v>
                </c:pt>
                <c:pt idx="200">
                  <c:v>42571</c:v>
                </c:pt>
                <c:pt idx="201">
                  <c:v>42572</c:v>
                </c:pt>
                <c:pt idx="202">
                  <c:v>42573</c:v>
                </c:pt>
                <c:pt idx="203">
                  <c:v>42576</c:v>
                </c:pt>
                <c:pt idx="204">
                  <c:v>42577</c:v>
                </c:pt>
                <c:pt idx="205">
                  <c:v>42578</c:v>
                </c:pt>
                <c:pt idx="206">
                  <c:v>42579</c:v>
                </c:pt>
                <c:pt idx="207">
                  <c:v>42580</c:v>
                </c:pt>
                <c:pt idx="208">
                  <c:v>42583</c:v>
                </c:pt>
                <c:pt idx="209">
                  <c:v>42584</c:v>
                </c:pt>
                <c:pt idx="210">
                  <c:v>42585</c:v>
                </c:pt>
                <c:pt idx="211">
                  <c:v>42586</c:v>
                </c:pt>
                <c:pt idx="212">
                  <c:v>42587</c:v>
                </c:pt>
                <c:pt idx="213">
                  <c:v>42590</c:v>
                </c:pt>
                <c:pt idx="214">
                  <c:v>42591</c:v>
                </c:pt>
                <c:pt idx="215">
                  <c:v>42592</c:v>
                </c:pt>
                <c:pt idx="216">
                  <c:v>42593</c:v>
                </c:pt>
                <c:pt idx="217">
                  <c:v>42594</c:v>
                </c:pt>
                <c:pt idx="218">
                  <c:v>42597</c:v>
                </c:pt>
                <c:pt idx="219">
                  <c:v>42598</c:v>
                </c:pt>
                <c:pt idx="220">
                  <c:v>42599</c:v>
                </c:pt>
                <c:pt idx="221">
                  <c:v>42600</c:v>
                </c:pt>
                <c:pt idx="222">
                  <c:v>42601</c:v>
                </c:pt>
                <c:pt idx="223">
                  <c:v>42604</c:v>
                </c:pt>
                <c:pt idx="224">
                  <c:v>42605</c:v>
                </c:pt>
                <c:pt idx="225">
                  <c:v>42606</c:v>
                </c:pt>
                <c:pt idx="226">
                  <c:v>42607</c:v>
                </c:pt>
                <c:pt idx="227">
                  <c:v>42608</c:v>
                </c:pt>
                <c:pt idx="228">
                  <c:v>42611</c:v>
                </c:pt>
                <c:pt idx="229">
                  <c:v>42612</c:v>
                </c:pt>
                <c:pt idx="230">
                  <c:v>42613</c:v>
                </c:pt>
                <c:pt idx="231">
                  <c:v>42614</c:v>
                </c:pt>
                <c:pt idx="232">
                  <c:v>42615</c:v>
                </c:pt>
                <c:pt idx="233">
                  <c:v>42619</c:v>
                </c:pt>
                <c:pt idx="234">
                  <c:v>42620</c:v>
                </c:pt>
                <c:pt idx="235">
                  <c:v>42621</c:v>
                </c:pt>
                <c:pt idx="236">
                  <c:v>42622</c:v>
                </c:pt>
                <c:pt idx="237">
                  <c:v>42625</c:v>
                </c:pt>
                <c:pt idx="238">
                  <c:v>42626</c:v>
                </c:pt>
                <c:pt idx="239">
                  <c:v>42627</c:v>
                </c:pt>
                <c:pt idx="240">
                  <c:v>42628</c:v>
                </c:pt>
                <c:pt idx="241">
                  <c:v>42629</c:v>
                </c:pt>
                <c:pt idx="242">
                  <c:v>42632</c:v>
                </c:pt>
                <c:pt idx="243">
                  <c:v>42633</c:v>
                </c:pt>
                <c:pt idx="244">
                  <c:v>42634</c:v>
                </c:pt>
                <c:pt idx="245">
                  <c:v>42635</c:v>
                </c:pt>
                <c:pt idx="246">
                  <c:v>42636</c:v>
                </c:pt>
                <c:pt idx="247">
                  <c:v>42639</c:v>
                </c:pt>
                <c:pt idx="248">
                  <c:v>42640</c:v>
                </c:pt>
                <c:pt idx="249">
                  <c:v>42641</c:v>
                </c:pt>
                <c:pt idx="250">
                  <c:v>42642</c:v>
                </c:pt>
              </c:numCache>
            </c:numRef>
          </c:cat>
          <c:val>
            <c:numRef>
              <c:f>Data!$O$2:$O$252</c:f>
              <c:numCache>
                <c:formatCode>General</c:formatCode>
                <c:ptCount val="251"/>
                <c:pt idx="13">
                  <c:v>72.628965252480356</c:v>
                </c:pt>
                <c:pt idx="14">
                  <c:v>76.464451196691698</c:v>
                </c:pt>
                <c:pt idx="15">
                  <c:v>81.720166204003704</c:v>
                </c:pt>
                <c:pt idx="16">
                  <c:v>83.204141590538157</c:v>
                </c:pt>
                <c:pt idx="17">
                  <c:v>88.572977095226179</c:v>
                </c:pt>
                <c:pt idx="18">
                  <c:v>80.413096733814399</c:v>
                </c:pt>
                <c:pt idx="19">
                  <c:v>75.176111292110434</c:v>
                </c:pt>
                <c:pt idx="20">
                  <c:v>71.46813722639564</c:v>
                </c:pt>
                <c:pt idx="21">
                  <c:v>67.052034020281724</c:v>
                </c:pt>
                <c:pt idx="22">
                  <c:v>71.381402427887906</c:v>
                </c:pt>
                <c:pt idx="23">
                  <c:v>72.015770832920069</c:v>
                </c:pt>
                <c:pt idx="24">
                  <c:v>67.373610918012702</c:v>
                </c:pt>
                <c:pt idx="25">
                  <c:v>67.750422392655878</c:v>
                </c:pt>
                <c:pt idx="26">
                  <c:v>62.96008656241608</c:v>
                </c:pt>
                <c:pt idx="27">
                  <c:v>59.906817469369351</c:v>
                </c:pt>
                <c:pt idx="28">
                  <c:v>59.059558906789285</c:v>
                </c:pt>
                <c:pt idx="29">
                  <c:v>45.76931393581819</c:v>
                </c:pt>
                <c:pt idx="30">
                  <c:v>36.200855220482239</c:v>
                </c:pt>
                <c:pt idx="31">
                  <c:v>33.857811355869316</c:v>
                </c:pt>
                <c:pt idx="32">
                  <c:v>34.911116928004915</c:v>
                </c:pt>
                <c:pt idx="33">
                  <c:v>40.81727652199352</c:v>
                </c:pt>
                <c:pt idx="34">
                  <c:v>48.129640221041832</c:v>
                </c:pt>
                <c:pt idx="35">
                  <c:v>47.412124210051694</c:v>
                </c:pt>
                <c:pt idx="36">
                  <c:v>46.523779258255018</c:v>
                </c:pt>
                <c:pt idx="37">
                  <c:v>39.838191607461177</c:v>
                </c:pt>
                <c:pt idx="38">
                  <c:v>40.767207725747369</c:v>
                </c:pt>
                <c:pt idx="39">
                  <c:v>37.472568879196579</c:v>
                </c:pt>
                <c:pt idx="40">
                  <c:v>47.844415143595533</c:v>
                </c:pt>
                <c:pt idx="41">
                  <c:v>58.500532214526018</c:v>
                </c:pt>
                <c:pt idx="42">
                  <c:v>59.602372233056968</c:v>
                </c:pt>
                <c:pt idx="43">
                  <c:v>59.079526243138524</c:v>
                </c:pt>
                <c:pt idx="44">
                  <c:v>67.532344916812903</c:v>
                </c:pt>
                <c:pt idx="45">
                  <c:v>67.518648312802327</c:v>
                </c:pt>
                <c:pt idx="46">
                  <c:v>67.114449694830483</c:v>
                </c:pt>
                <c:pt idx="47">
                  <c:v>59.916255038519616</c:v>
                </c:pt>
                <c:pt idx="48">
                  <c:v>60.274219918896371</c:v>
                </c:pt>
                <c:pt idx="49">
                  <c:v>59.935464904541782</c:v>
                </c:pt>
                <c:pt idx="50">
                  <c:v>61.44070435614271</c:v>
                </c:pt>
                <c:pt idx="51">
                  <c:v>67.345979754724837</c:v>
                </c:pt>
                <c:pt idx="52">
                  <c:v>72.289940314207485</c:v>
                </c:pt>
                <c:pt idx="53">
                  <c:v>73.920139593222842</c:v>
                </c:pt>
                <c:pt idx="54">
                  <c:v>60.968501798972724</c:v>
                </c:pt>
                <c:pt idx="55">
                  <c:v>60.784701874980733</c:v>
                </c:pt>
                <c:pt idx="56">
                  <c:v>59.462583022754842</c:v>
                </c:pt>
                <c:pt idx="57">
                  <c:v>65.535137482988446</c:v>
                </c:pt>
                <c:pt idx="58">
                  <c:v>61.423776374280209</c:v>
                </c:pt>
                <c:pt idx="59">
                  <c:v>56.406855195604081</c:v>
                </c:pt>
                <c:pt idx="60">
                  <c:v>62.49021740058501</c:v>
                </c:pt>
                <c:pt idx="61">
                  <c:v>64.267647291096736</c:v>
                </c:pt>
                <c:pt idx="62">
                  <c:v>58.354699676960564</c:v>
                </c:pt>
                <c:pt idx="63">
                  <c:v>56.745073562055019</c:v>
                </c:pt>
                <c:pt idx="64">
                  <c:v>55.66115213098719</c:v>
                </c:pt>
                <c:pt idx="65">
                  <c:v>47.689207587862512</c:v>
                </c:pt>
                <c:pt idx="66">
                  <c:v>38.742362535347247</c:v>
                </c:pt>
                <c:pt idx="67">
                  <c:v>39.287017453359887</c:v>
                </c:pt>
                <c:pt idx="68">
                  <c:v>43.436271286110973</c:v>
                </c:pt>
                <c:pt idx="69">
                  <c:v>43.123384265098345</c:v>
                </c:pt>
                <c:pt idx="70">
                  <c:v>34.378694553405836</c:v>
                </c:pt>
                <c:pt idx="71">
                  <c:v>37.219936159312212</c:v>
                </c:pt>
                <c:pt idx="72">
                  <c:v>33.546512265778361</c:v>
                </c:pt>
                <c:pt idx="73">
                  <c:v>32.560906996538392</c:v>
                </c:pt>
                <c:pt idx="74">
                  <c:v>26.466338688298492</c:v>
                </c:pt>
                <c:pt idx="75">
                  <c:v>31.652603502738074</c:v>
                </c:pt>
                <c:pt idx="76">
                  <c:v>36.749284915022891</c:v>
                </c:pt>
                <c:pt idx="77">
                  <c:v>43.170870551452161</c:v>
                </c:pt>
                <c:pt idx="78">
                  <c:v>42.555309520352431</c:v>
                </c:pt>
                <c:pt idx="79">
                  <c:v>42.859158181386384</c:v>
                </c:pt>
                <c:pt idx="80">
                  <c:v>52.010715589643958</c:v>
                </c:pt>
                <c:pt idx="81">
                  <c:v>54.679819496994611</c:v>
                </c:pt>
                <c:pt idx="82">
                  <c:v>60.548358791161363</c:v>
                </c:pt>
                <c:pt idx="83">
                  <c:v>53.751175247002287</c:v>
                </c:pt>
                <c:pt idx="84">
                  <c:v>54.460348127095564</c:v>
                </c:pt>
                <c:pt idx="85">
                  <c:v>47.455053485490382</c:v>
                </c:pt>
                <c:pt idx="86">
                  <c:v>48.150742343377438</c:v>
                </c:pt>
                <c:pt idx="87">
                  <c:v>47.246784319927535</c:v>
                </c:pt>
                <c:pt idx="88">
                  <c:v>54.766344084479734</c:v>
                </c:pt>
                <c:pt idx="89">
                  <c:v>54.598270967163529</c:v>
                </c:pt>
                <c:pt idx="90">
                  <c:v>48.568701895704827</c:v>
                </c:pt>
                <c:pt idx="91">
                  <c:v>48.451634438441083</c:v>
                </c:pt>
                <c:pt idx="92">
                  <c:v>48.995196898979046</c:v>
                </c:pt>
                <c:pt idx="93">
                  <c:v>54.420870823179371</c:v>
                </c:pt>
                <c:pt idx="94">
                  <c:v>52.075666167869855</c:v>
                </c:pt>
                <c:pt idx="95">
                  <c:v>42.528574146967081</c:v>
                </c:pt>
                <c:pt idx="96">
                  <c:v>40.504249236498239</c:v>
                </c:pt>
                <c:pt idx="97">
                  <c:v>42.557870175950264</c:v>
                </c:pt>
                <c:pt idx="98">
                  <c:v>44.533697533355699</c:v>
                </c:pt>
                <c:pt idx="99">
                  <c:v>51.306942826634071</c:v>
                </c:pt>
                <c:pt idx="100">
                  <c:v>60.907670277982007</c:v>
                </c:pt>
                <c:pt idx="101">
                  <c:v>64.068737318071101</c:v>
                </c:pt>
                <c:pt idx="102">
                  <c:v>63.195803062295404</c:v>
                </c:pt>
                <c:pt idx="103">
                  <c:v>62.636742347593248</c:v>
                </c:pt>
                <c:pt idx="104">
                  <c:v>65.759851403477327</c:v>
                </c:pt>
                <c:pt idx="105">
                  <c:v>58.213680034170771</c:v>
                </c:pt>
                <c:pt idx="106">
                  <c:v>49.757066896773104</c:v>
                </c:pt>
                <c:pt idx="107">
                  <c:v>48.888857400456232</c:v>
                </c:pt>
                <c:pt idx="108">
                  <c:v>49.023277786392597</c:v>
                </c:pt>
                <c:pt idx="109">
                  <c:v>48.470443012698261</c:v>
                </c:pt>
                <c:pt idx="110">
                  <c:v>49.334586205615672</c:v>
                </c:pt>
                <c:pt idx="111">
                  <c:v>55.35022945394352</c:v>
                </c:pt>
                <c:pt idx="112">
                  <c:v>61.748060047505454</c:v>
                </c:pt>
                <c:pt idx="113">
                  <c:v>62.294346628111128</c:v>
                </c:pt>
                <c:pt idx="114">
                  <c:v>61.756374031124132</c:v>
                </c:pt>
                <c:pt idx="115">
                  <c:v>56.622938596331096</c:v>
                </c:pt>
                <c:pt idx="116">
                  <c:v>50.499839770076072</c:v>
                </c:pt>
                <c:pt idx="117">
                  <c:v>49.88179256082325</c:v>
                </c:pt>
                <c:pt idx="118">
                  <c:v>54.906643772904829</c:v>
                </c:pt>
                <c:pt idx="119">
                  <c:v>61.156304915589772</c:v>
                </c:pt>
                <c:pt idx="120">
                  <c:v>64.094113055058529</c:v>
                </c:pt>
                <c:pt idx="121">
                  <c:v>63.354190998599883</c:v>
                </c:pt>
                <c:pt idx="122">
                  <c:v>62.98465338501444</c:v>
                </c:pt>
                <c:pt idx="123">
                  <c:v>71.688785323477518</c:v>
                </c:pt>
                <c:pt idx="124">
                  <c:v>71.190156925800238</c:v>
                </c:pt>
                <c:pt idx="125">
                  <c:v>70.857544467399606</c:v>
                </c:pt>
                <c:pt idx="126">
                  <c:v>65.475947366503846</c:v>
                </c:pt>
                <c:pt idx="127">
                  <c:v>64.493778729040059</c:v>
                </c:pt>
                <c:pt idx="128">
                  <c:v>58.039642166969173</c:v>
                </c:pt>
                <c:pt idx="129">
                  <c:v>73.951235339907868</c:v>
                </c:pt>
                <c:pt idx="130">
                  <c:v>74.460219806931619</c:v>
                </c:pt>
                <c:pt idx="131">
                  <c:v>66.409676888999741</c:v>
                </c:pt>
                <c:pt idx="132">
                  <c:v>66.537554545018125</c:v>
                </c:pt>
                <c:pt idx="133">
                  <c:v>66.690688592420912</c:v>
                </c:pt>
                <c:pt idx="134">
                  <c:v>73.284988028234821</c:v>
                </c:pt>
                <c:pt idx="135">
                  <c:v>73.337344178630403</c:v>
                </c:pt>
                <c:pt idx="136">
                  <c:v>73.931431489349904</c:v>
                </c:pt>
                <c:pt idx="137">
                  <c:v>63.703943351213205</c:v>
                </c:pt>
                <c:pt idx="138">
                  <c:v>53.925060654063714</c:v>
                </c:pt>
                <c:pt idx="139">
                  <c:v>37.635031923381881</c:v>
                </c:pt>
                <c:pt idx="140">
                  <c:v>43.455103618178654</c:v>
                </c:pt>
                <c:pt idx="141">
                  <c:v>38.012244957375216</c:v>
                </c:pt>
                <c:pt idx="142">
                  <c:v>36.377969515947534</c:v>
                </c:pt>
                <c:pt idx="143">
                  <c:v>30.818836800255042</c:v>
                </c:pt>
                <c:pt idx="144">
                  <c:v>29.508988213589603</c:v>
                </c:pt>
                <c:pt idx="145">
                  <c:v>34.8419409275796</c:v>
                </c:pt>
                <c:pt idx="146">
                  <c:v>30.774018425913923</c:v>
                </c:pt>
                <c:pt idx="147">
                  <c:v>26.840757014549524</c:v>
                </c:pt>
                <c:pt idx="148">
                  <c:v>26.019823786312742</c:v>
                </c:pt>
                <c:pt idx="149">
                  <c:v>25.790350067625127</c:v>
                </c:pt>
                <c:pt idx="150">
                  <c:v>23.807377457149315</c:v>
                </c:pt>
                <c:pt idx="151">
                  <c:v>28.735016773287185</c:v>
                </c:pt>
                <c:pt idx="152">
                  <c:v>34.34118228347829</c:v>
                </c:pt>
                <c:pt idx="153">
                  <c:v>48.600180310853496</c:v>
                </c:pt>
                <c:pt idx="154">
                  <c:v>41.66400666277675</c:v>
                </c:pt>
                <c:pt idx="155">
                  <c:v>48.208029597803865</c:v>
                </c:pt>
                <c:pt idx="156">
                  <c:v>50.18718652506498</c:v>
                </c:pt>
                <c:pt idx="157">
                  <c:v>52.614254270720473</c:v>
                </c:pt>
                <c:pt idx="158">
                  <c:v>56.303099603627636</c:v>
                </c:pt>
                <c:pt idx="159">
                  <c:v>55.123302062184869</c:v>
                </c:pt>
                <c:pt idx="160">
                  <c:v>55.153451165090239</c:v>
                </c:pt>
                <c:pt idx="161">
                  <c:v>63.561428742743445</c:v>
                </c:pt>
                <c:pt idx="162">
                  <c:v>63.527964310605533</c:v>
                </c:pt>
                <c:pt idx="163">
                  <c:v>56.334361870507692</c:v>
                </c:pt>
                <c:pt idx="164">
                  <c:v>56.390444909660197</c:v>
                </c:pt>
                <c:pt idx="165">
                  <c:v>58.352636750497474</c:v>
                </c:pt>
                <c:pt idx="166">
                  <c:v>58.586505823059134</c:v>
                </c:pt>
                <c:pt idx="167">
                  <c:v>51.963363133919913</c:v>
                </c:pt>
                <c:pt idx="168">
                  <c:v>51.811309827661425</c:v>
                </c:pt>
                <c:pt idx="169">
                  <c:v>51.597968151834337</c:v>
                </c:pt>
                <c:pt idx="170">
                  <c:v>58.596446587025056</c:v>
                </c:pt>
                <c:pt idx="171">
                  <c:v>59.128714054646395</c:v>
                </c:pt>
                <c:pt idx="172">
                  <c:v>59.62503407745961</c:v>
                </c:pt>
                <c:pt idx="173">
                  <c:v>52.408320476227324</c:v>
                </c:pt>
                <c:pt idx="174">
                  <c:v>45.176769981507249</c:v>
                </c:pt>
                <c:pt idx="175">
                  <c:v>35.950954664274477</c:v>
                </c:pt>
                <c:pt idx="176">
                  <c:v>29.374018293442219</c:v>
                </c:pt>
                <c:pt idx="177">
                  <c:v>36.164927145967205</c:v>
                </c:pt>
                <c:pt idx="178">
                  <c:v>39.948135271251211</c:v>
                </c:pt>
                <c:pt idx="179">
                  <c:v>39.442529485491015</c:v>
                </c:pt>
                <c:pt idx="180">
                  <c:v>40.484816818498068</c:v>
                </c:pt>
                <c:pt idx="181">
                  <c:v>46.262360919323719</c:v>
                </c:pt>
                <c:pt idx="182">
                  <c:v>51.999629906774047</c:v>
                </c:pt>
                <c:pt idx="183">
                  <c:v>38.700503313663972</c:v>
                </c:pt>
                <c:pt idx="184">
                  <c:v>33.487052733304736</c:v>
                </c:pt>
                <c:pt idx="185">
                  <c:v>38.587828798887983</c:v>
                </c:pt>
                <c:pt idx="186">
                  <c:v>42.848428160277976</c:v>
                </c:pt>
                <c:pt idx="187">
                  <c:v>47.180915370663506</c:v>
                </c:pt>
                <c:pt idx="188">
                  <c:v>55.859611526046272</c:v>
                </c:pt>
                <c:pt idx="189">
                  <c:v>57.539241342771305</c:v>
                </c:pt>
                <c:pt idx="190">
                  <c:v>63.140275296555544</c:v>
                </c:pt>
                <c:pt idx="191">
                  <c:v>62.396705130740713</c:v>
                </c:pt>
                <c:pt idx="192">
                  <c:v>61.256985954713322</c:v>
                </c:pt>
                <c:pt idx="193">
                  <c:v>60.34119063137004</c:v>
                </c:pt>
                <c:pt idx="194">
                  <c:v>59.905094209012255</c:v>
                </c:pt>
                <c:pt idx="195">
                  <c:v>59.724083253664084</c:v>
                </c:pt>
                <c:pt idx="196">
                  <c:v>59.439289915051987</c:v>
                </c:pt>
                <c:pt idx="197">
                  <c:v>73.745328714225224</c:v>
                </c:pt>
                <c:pt idx="198">
                  <c:v>85.010244475685482</c:v>
                </c:pt>
                <c:pt idx="199">
                  <c:v>72.085344791754977</c:v>
                </c:pt>
                <c:pt idx="200">
                  <c:v>76.060135562825508</c:v>
                </c:pt>
                <c:pt idx="201">
                  <c:v>69.011211299871562</c:v>
                </c:pt>
                <c:pt idx="202">
                  <c:v>69.88005803323037</c:v>
                </c:pt>
                <c:pt idx="203">
                  <c:v>75.039219061851497</c:v>
                </c:pt>
                <c:pt idx="204">
                  <c:v>75.191202596589875</c:v>
                </c:pt>
                <c:pt idx="205">
                  <c:v>69.099976319042852</c:v>
                </c:pt>
                <c:pt idx="206">
                  <c:v>62.073602092926187</c:v>
                </c:pt>
                <c:pt idx="207">
                  <c:v>62.830745206845556</c:v>
                </c:pt>
                <c:pt idx="208">
                  <c:v>57.568262906457399</c:v>
                </c:pt>
                <c:pt idx="209">
                  <c:v>58.510002154281501</c:v>
                </c:pt>
                <c:pt idx="210">
                  <c:v>58.415383584813981</c:v>
                </c:pt>
                <c:pt idx="211">
                  <c:v>64.224322170399205</c:v>
                </c:pt>
                <c:pt idx="212">
                  <c:v>64.226693900532268</c:v>
                </c:pt>
                <c:pt idx="213">
                  <c:v>72.658625054975474</c:v>
                </c:pt>
                <c:pt idx="214">
                  <c:v>67.704461975907236</c:v>
                </c:pt>
                <c:pt idx="215">
                  <c:v>70.600596092836199</c:v>
                </c:pt>
                <c:pt idx="216">
                  <c:v>69.531832394805974</c:v>
                </c:pt>
                <c:pt idx="217">
                  <c:v>63.131631537674529</c:v>
                </c:pt>
                <c:pt idx="218">
                  <c:v>62.259645621062454</c:v>
                </c:pt>
                <c:pt idx="219">
                  <c:v>64.323385980162627</c:v>
                </c:pt>
                <c:pt idx="220">
                  <c:v>73.798093849268398</c:v>
                </c:pt>
                <c:pt idx="221">
                  <c:v>72.43539862677072</c:v>
                </c:pt>
                <c:pt idx="222">
                  <c:v>74.461835236417855</c:v>
                </c:pt>
                <c:pt idx="223">
                  <c:v>72.674975406911358</c:v>
                </c:pt>
                <c:pt idx="224">
                  <c:v>72.380894160363098</c:v>
                </c:pt>
                <c:pt idx="225">
                  <c:v>64.637701129159566</c:v>
                </c:pt>
                <c:pt idx="226">
                  <c:v>63.13847625083114</c:v>
                </c:pt>
                <c:pt idx="227">
                  <c:v>63.3645153294624</c:v>
                </c:pt>
                <c:pt idx="228">
                  <c:v>63.292475374579503</c:v>
                </c:pt>
                <c:pt idx="229">
                  <c:v>63.01167979042858</c:v>
                </c:pt>
                <c:pt idx="230">
                  <c:v>55.309124624838923</c:v>
                </c:pt>
                <c:pt idx="231">
                  <c:v>54.416218479634651</c:v>
                </c:pt>
                <c:pt idx="232">
                  <c:v>54.324207581546439</c:v>
                </c:pt>
                <c:pt idx="233">
                  <c:v>55.209396238408068</c:v>
                </c:pt>
                <c:pt idx="234">
                  <c:v>54.979906652997983</c:v>
                </c:pt>
                <c:pt idx="235">
                  <c:v>48.34125608936661</c:v>
                </c:pt>
                <c:pt idx="236">
                  <c:v>45.356882313542989</c:v>
                </c:pt>
                <c:pt idx="237">
                  <c:v>38.075893124263033</c:v>
                </c:pt>
                <c:pt idx="238">
                  <c:v>30.546050943260326</c:v>
                </c:pt>
                <c:pt idx="239">
                  <c:v>30.025485050580627</c:v>
                </c:pt>
                <c:pt idx="240">
                  <c:v>31.742325843824233</c:v>
                </c:pt>
                <c:pt idx="241">
                  <c:v>36.38103248516051</c:v>
                </c:pt>
                <c:pt idx="242">
                  <c:v>31.121413196772608</c:v>
                </c:pt>
                <c:pt idx="243">
                  <c:v>31.105486193630881</c:v>
                </c:pt>
                <c:pt idx="244">
                  <c:v>39.405795863464931</c:v>
                </c:pt>
                <c:pt idx="245">
                  <c:v>45.751762568610104</c:v>
                </c:pt>
                <c:pt idx="246">
                  <c:v>40.246722457139001</c:v>
                </c:pt>
                <c:pt idx="247">
                  <c:v>39.663365882345715</c:v>
                </c:pt>
                <c:pt idx="248">
                  <c:v>41.390682339772368</c:v>
                </c:pt>
                <c:pt idx="249">
                  <c:v>46.927966927666674</c:v>
                </c:pt>
                <c:pt idx="250">
                  <c:v>48.111415668606185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73504"/>
        <c:axId val="302404672"/>
      </c:lineChart>
      <c:dateAx>
        <c:axId val="2996229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crossAx val="298900224"/>
        <c:crosses val="autoZero"/>
        <c:auto val="1"/>
        <c:lblOffset val="100"/>
        <c:baseTimeUnit val="days"/>
      </c:dateAx>
      <c:valAx>
        <c:axId val="298900224"/>
        <c:scaling>
          <c:orientation val="minMax"/>
          <c:max val="58.299999"/>
          <c:min val="4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Close Price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9622912"/>
        <c:crosses val="autoZero"/>
        <c:crossBetween val="between"/>
      </c:valAx>
      <c:valAx>
        <c:axId val="302404672"/>
        <c:scaling>
          <c:orientation val="minMax"/>
          <c:max val="88.572977095226179"/>
          <c:min val="23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CCI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96373504"/>
        <c:crosses val="max"/>
        <c:crossBetween val="between"/>
      </c:valAx>
      <c:dateAx>
        <c:axId val="3963735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02404672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http://investexcel.ne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28575</xdr:rowOff>
        </xdr:from>
        <xdr:to>
          <xdr:col>4</xdr:col>
          <xdr:colOff>409575</xdr:colOff>
          <xdr:row>8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Yahoo and Plot CCI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352425</xdr:colOff>
      <xdr:row>2</xdr:row>
      <xdr:rowOff>85725</xdr:rowOff>
    </xdr:from>
    <xdr:to>
      <xdr:col>4</xdr:col>
      <xdr:colOff>190500</xdr:colOff>
      <xdr:row>5</xdr:row>
      <xdr:rowOff>57150</xdr:rowOff>
    </xdr:to>
    <xdr:pic>
      <xdr:nvPicPr>
        <xdr:cNvPr id="16" name="Picture 15" descr="http://investexcel.net/wp-content/uploads/2011/10/InvestExcel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825" y="657225"/>
          <a:ext cx="1019175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8</xdr:col>
      <xdr:colOff>377825</xdr:colOff>
      <xdr:row>30</xdr:row>
      <xdr:rowOff>0</xdr:rowOff>
    </xdr:to>
    <xdr:graphicFrame macro="">
      <xdr:nvGraphicFramePr>
        <xdr:cNvPr id="3" name="MFI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74" connectionId="3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67" connectionId="2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52" connectionId="1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65" connectionId="2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71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42" connectionId="2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45" connectionId="7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204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72" connectionId="3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44" connectionId="6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68" connectionId="2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46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54" connectionId="1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80" connectionId="4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207" connectionId="7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79" connectionId="4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41" connectionId="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77" connectionId="3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66" connectionId="2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86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9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94" connectionId="5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203" connectionId="6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49" connectionId="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206" connectionId="7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208" connectionId="7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39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193" connectionId="5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205" connectionId="7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153" connectionId="1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200" connectionId="6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183" connectionId="4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69" connectionId="2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50" connectionId="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209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61" connectionId="2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185" connectionId="4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164" connectionId="2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199" connectionId="6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57" connectionId="1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182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191" connectionId="5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178" connectionId="3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143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147" connectionId="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195" connectionId="5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163" connectionId="2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158" connectionId="1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176" connectionId="3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87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196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162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198" connectionId="6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148" connectionId="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156" connectionId="1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202" connectionId="6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159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170" connectionId="3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173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181" connectionId="4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151" connectionId="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138" connectionId="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175" connectionId="3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188" connectionId="5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184" connectionId="4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189" connectionId="5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201" connectionId="6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14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160" connectionId="1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192" connectionId="5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197" connectionId="6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155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imulationconsultant@gmail.com" TargetMode="External"/><Relationship Id="rId1" Type="http://schemas.openxmlformats.org/officeDocument/2006/relationships/hyperlink" Target="http://investexcel.ne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9" Type="http://schemas.openxmlformats.org/officeDocument/2006/relationships/queryTable" Target="../queryTables/queryTable29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66" Type="http://schemas.openxmlformats.org/officeDocument/2006/relationships/queryTable" Target="../queryTables/queryTable66.xml"/><Relationship Id="rId5" Type="http://schemas.openxmlformats.org/officeDocument/2006/relationships/queryTable" Target="../queryTables/queryTable5.xml"/><Relationship Id="rId61" Type="http://schemas.openxmlformats.org/officeDocument/2006/relationships/queryTable" Target="../queryTables/queryTable61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8"/>
  <sheetViews>
    <sheetView showGridLines="0" tabSelected="1" workbookViewId="0">
      <selection activeCell="F9" sqref="F9"/>
    </sheetView>
  </sheetViews>
  <sheetFormatPr defaultRowHeight="15"/>
  <cols>
    <col min="1" max="1" width="20.28515625" customWidth="1"/>
    <col min="2" max="2" width="11.85546875" customWidth="1"/>
    <col min="3" max="3" width="8.5703125" customWidth="1"/>
    <col min="8" max="8" width="12.28515625" customWidth="1"/>
    <col min="9" max="9" width="9.140625" style="2"/>
    <col min="13" max="13" width="5.28515625" customWidth="1"/>
  </cols>
  <sheetData>
    <row r="1" spans="1:10" ht="30">
      <c r="A1" s="1" t="s">
        <v>16</v>
      </c>
    </row>
    <row r="2" spans="1:10" ht="15.75" thickBot="1">
      <c r="A2" s="3" t="s">
        <v>3</v>
      </c>
    </row>
    <row r="3" spans="1:10" ht="15.75" thickBot="1">
      <c r="F3" s="13" t="s">
        <v>4</v>
      </c>
      <c r="G3" s="14"/>
      <c r="H3" s="5"/>
      <c r="J3" s="12"/>
    </row>
    <row r="4" spans="1:10" ht="15.75" thickBot="1">
      <c r="A4" s="4" t="s">
        <v>14</v>
      </c>
      <c r="B4" s="5"/>
      <c r="F4" s="15" t="s">
        <v>5</v>
      </c>
      <c r="G4" s="16"/>
      <c r="H4" s="9"/>
      <c r="J4" s="12"/>
    </row>
    <row r="5" spans="1:10">
      <c r="A5" s="6" t="s">
        <v>1</v>
      </c>
      <c r="B5" s="10" t="s">
        <v>12</v>
      </c>
    </row>
    <row r="6" spans="1:10">
      <c r="A6" s="6" t="s">
        <v>2</v>
      </c>
      <c r="B6" s="17">
        <v>42279</v>
      </c>
    </row>
    <row r="7" spans="1:10">
      <c r="A7" s="6" t="s">
        <v>0</v>
      </c>
      <c r="B7" s="17">
        <v>42643</v>
      </c>
    </row>
    <row r="8" spans="1:10" ht="15.75" thickBot="1">
      <c r="A8" s="7" t="s">
        <v>13</v>
      </c>
      <c r="B8" s="11">
        <v>14</v>
      </c>
      <c r="I8"/>
    </row>
    <row r="9" spans="1:10">
      <c r="I9"/>
    </row>
    <row r="10" spans="1:10">
      <c r="I10"/>
    </row>
    <row r="11" spans="1:10">
      <c r="I11"/>
    </row>
    <row r="12" spans="1:10">
      <c r="I12"/>
    </row>
    <row r="13" spans="1:10">
      <c r="I13"/>
    </row>
    <row r="14" spans="1:10">
      <c r="I14"/>
    </row>
    <row r="15" spans="1:10">
      <c r="I15"/>
    </row>
    <row r="16" spans="1:10">
      <c r="I16"/>
    </row>
    <row r="17" spans="9:9">
      <c r="I17"/>
    </row>
    <row r="18" spans="9:9">
      <c r="I18"/>
    </row>
  </sheetData>
  <hyperlinks>
    <hyperlink ref="A2" r:id="rId1"/>
    <hyperlink ref="F4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alling">
                <anchor moveWithCells="1">
                  <from>
                    <xdr:col>2</xdr:col>
                    <xdr:colOff>171450</xdr:colOff>
                    <xdr:row>6</xdr:row>
                    <xdr:rowOff>28575</xdr:rowOff>
                  </from>
                  <to>
                    <xdr:col>4</xdr:col>
                    <xdr:colOff>409575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52"/>
  <sheetViews>
    <sheetView topLeftCell="F1" workbookViewId="0">
      <selection activeCell="N16" sqref="N16"/>
    </sheetView>
  </sheetViews>
  <sheetFormatPr defaultRowHeight="15"/>
  <cols>
    <col min="1" max="7" width="12.5703125" customWidth="1"/>
    <col min="8" max="8" width="12.140625" bestFit="1" customWidth="1"/>
    <col min="9" max="9" width="11.28515625" bestFit="1" customWidth="1"/>
    <col min="10" max="11" width="12" bestFit="1" customWidth="1"/>
    <col min="12" max="12" width="11.5703125" customWidth="1"/>
  </cols>
  <sheetData>
    <row r="1" spans="1:1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15</v>
      </c>
      <c r="G1" t="s">
        <v>17</v>
      </c>
      <c r="H1" t="s">
        <v>11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23</v>
      </c>
      <c r="O1" t="s">
        <v>23</v>
      </c>
    </row>
    <row r="2" spans="1:15">
      <c r="A2" s="8">
        <v>42279</v>
      </c>
      <c r="B2">
        <v>44.27</v>
      </c>
      <c r="C2">
        <v>45.57</v>
      </c>
      <c r="D2">
        <v>43.919998</v>
      </c>
      <c r="E2">
        <v>45.57</v>
      </c>
      <c r="F2">
        <v>40.782795</v>
      </c>
      <c r="G2">
        <v>41839000</v>
      </c>
      <c r="H2">
        <f t="shared" ref="H2:H65" si="0">(C2 + D2 + E2)/3</f>
        <v>45.019999333333338</v>
      </c>
      <c r="I2">
        <f t="shared" ref="I2:I65" si="1">H2*G2</f>
        <v>1883591752.1073334</v>
      </c>
    </row>
    <row r="3" spans="1:15">
      <c r="A3" s="8">
        <v>42282</v>
      </c>
      <c r="B3">
        <v>45.75</v>
      </c>
      <c r="C3">
        <v>46.889999000000003</v>
      </c>
      <c r="D3">
        <v>45.700001</v>
      </c>
      <c r="E3">
        <v>46.630001</v>
      </c>
      <c r="F3">
        <v>41.731434</v>
      </c>
      <c r="G3">
        <v>34369300</v>
      </c>
      <c r="H3">
        <f t="shared" si="0"/>
        <v>46.406666999999999</v>
      </c>
      <c r="I3">
        <f t="shared" si="1"/>
        <v>1594964660.1231</v>
      </c>
      <c r="J3">
        <f t="shared" ref="J3:J66" si="2">IF(H3&gt;H2,I3,0)</f>
        <v>1594964660.1231</v>
      </c>
      <c r="K3">
        <f t="shared" ref="K3:K66" si="3">IF(H3&lt;H2,I3,0)</f>
        <v>0</v>
      </c>
    </row>
    <row r="4" spans="1:15">
      <c r="A4" s="8">
        <v>42283</v>
      </c>
      <c r="B4">
        <v>46.330002</v>
      </c>
      <c r="C4">
        <v>47.18</v>
      </c>
      <c r="D4">
        <v>46.220001000000003</v>
      </c>
      <c r="E4">
        <v>46.75</v>
      </c>
      <c r="F4">
        <v>41.838836999999998</v>
      </c>
      <c r="G4">
        <v>27017200</v>
      </c>
      <c r="H4">
        <f t="shared" si="0"/>
        <v>46.716667000000001</v>
      </c>
      <c r="I4">
        <f t="shared" si="1"/>
        <v>1262153535.6724</v>
      </c>
      <c r="J4">
        <f t="shared" si="2"/>
        <v>1262153535.6724</v>
      </c>
      <c r="K4">
        <f t="shared" si="3"/>
        <v>0</v>
      </c>
    </row>
    <row r="5" spans="1:15">
      <c r="A5" s="8">
        <v>42284</v>
      </c>
      <c r="B5">
        <v>47.099997999999999</v>
      </c>
      <c r="C5">
        <v>47.349997999999999</v>
      </c>
      <c r="D5">
        <v>45.950001</v>
      </c>
      <c r="E5">
        <v>46.799999</v>
      </c>
      <c r="F5">
        <v>41.883578999999997</v>
      </c>
      <c r="G5">
        <v>27711500</v>
      </c>
      <c r="H5">
        <f t="shared" si="0"/>
        <v>46.699999333333331</v>
      </c>
      <c r="I5">
        <f t="shared" si="1"/>
        <v>1294127031.5256667</v>
      </c>
      <c r="J5">
        <f t="shared" si="2"/>
        <v>0</v>
      </c>
      <c r="K5">
        <f t="shared" si="3"/>
        <v>1294127031.5256667</v>
      </c>
    </row>
    <row r="6" spans="1:15">
      <c r="A6" s="8">
        <v>42285</v>
      </c>
      <c r="B6">
        <v>46.560001</v>
      </c>
      <c r="C6">
        <v>47.52</v>
      </c>
      <c r="D6">
        <v>46.5</v>
      </c>
      <c r="E6">
        <v>47.450001</v>
      </c>
      <c r="F6">
        <v>42.465294</v>
      </c>
      <c r="G6">
        <v>33772700</v>
      </c>
      <c r="H6">
        <f t="shared" si="0"/>
        <v>47.156667000000006</v>
      </c>
      <c r="I6">
        <f t="shared" si="1"/>
        <v>1592607967.5909002</v>
      </c>
      <c r="J6">
        <f t="shared" si="2"/>
        <v>1592607967.5909002</v>
      </c>
      <c r="K6">
        <f t="shared" si="3"/>
        <v>0</v>
      </c>
    </row>
    <row r="7" spans="1:15">
      <c r="A7" s="8">
        <v>42286</v>
      </c>
      <c r="B7">
        <v>47.450001</v>
      </c>
      <c r="C7">
        <v>47.540000999999997</v>
      </c>
      <c r="D7">
        <v>46.919998</v>
      </c>
      <c r="E7">
        <v>47.110000999999997</v>
      </c>
      <c r="F7">
        <v>42.161017999999999</v>
      </c>
      <c r="G7">
        <v>28600600</v>
      </c>
      <c r="H7">
        <f t="shared" si="0"/>
        <v>47.19</v>
      </c>
      <c r="I7">
        <f t="shared" si="1"/>
        <v>1349662314</v>
      </c>
      <c r="J7">
        <f t="shared" si="2"/>
        <v>1349662314</v>
      </c>
      <c r="K7">
        <f t="shared" si="3"/>
        <v>0</v>
      </c>
    </row>
    <row r="8" spans="1:15">
      <c r="A8" s="8">
        <v>42289</v>
      </c>
      <c r="B8">
        <v>46.98</v>
      </c>
      <c r="C8">
        <v>47.07</v>
      </c>
      <c r="D8">
        <v>46.5</v>
      </c>
      <c r="E8">
        <v>47</v>
      </c>
      <c r="F8">
        <v>42.062569000000003</v>
      </c>
      <c r="G8">
        <v>19769100</v>
      </c>
      <c r="H8">
        <f t="shared" si="0"/>
        <v>46.856666666666662</v>
      </c>
      <c r="I8">
        <f t="shared" si="1"/>
        <v>926314128.99999988</v>
      </c>
      <c r="J8">
        <f t="shared" si="2"/>
        <v>0</v>
      </c>
      <c r="K8">
        <f t="shared" si="3"/>
        <v>926314128.99999988</v>
      </c>
    </row>
    <row r="9" spans="1:15">
      <c r="A9" s="8">
        <v>42290</v>
      </c>
      <c r="B9">
        <v>46.560001</v>
      </c>
      <c r="C9">
        <v>47.130001</v>
      </c>
      <c r="D9">
        <v>46.560001</v>
      </c>
      <c r="E9">
        <v>46.889999000000003</v>
      </c>
      <c r="F9">
        <v>41.964118999999997</v>
      </c>
      <c r="G9">
        <v>19987800</v>
      </c>
      <c r="H9">
        <f t="shared" si="0"/>
        <v>46.860000333333325</v>
      </c>
      <c r="I9">
        <f t="shared" si="1"/>
        <v>936628314.6625998</v>
      </c>
      <c r="J9">
        <f t="shared" si="2"/>
        <v>936628314.6625998</v>
      </c>
      <c r="K9">
        <f t="shared" si="3"/>
        <v>0</v>
      </c>
    </row>
    <row r="10" spans="1:15">
      <c r="A10" s="8">
        <v>42291</v>
      </c>
      <c r="B10">
        <v>46.650002000000001</v>
      </c>
      <c r="C10">
        <v>47.099997999999999</v>
      </c>
      <c r="D10">
        <v>46.529998999999997</v>
      </c>
      <c r="E10">
        <v>46.68</v>
      </c>
      <c r="F10">
        <v>41.776187999999998</v>
      </c>
      <c r="G10">
        <v>24697800</v>
      </c>
      <c r="H10">
        <f t="shared" si="0"/>
        <v>46.769999000000006</v>
      </c>
      <c r="I10">
        <f t="shared" si="1"/>
        <v>1155116081.3022001</v>
      </c>
      <c r="J10">
        <f t="shared" si="2"/>
        <v>0</v>
      </c>
      <c r="K10">
        <f t="shared" si="3"/>
        <v>1155116081.3022001</v>
      </c>
    </row>
    <row r="11" spans="1:15">
      <c r="A11" s="8">
        <v>42292</v>
      </c>
      <c r="B11">
        <v>47.009998000000003</v>
      </c>
      <c r="C11">
        <v>47.029998999999997</v>
      </c>
      <c r="D11">
        <v>46.529998999999997</v>
      </c>
      <c r="E11">
        <v>47.009998000000003</v>
      </c>
      <c r="F11">
        <v>42.071525999999999</v>
      </c>
      <c r="G11">
        <v>27189400</v>
      </c>
      <c r="H11">
        <f t="shared" si="0"/>
        <v>46.856665333333332</v>
      </c>
      <c r="I11">
        <f t="shared" si="1"/>
        <v>1274004616.4141333</v>
      </c>
      <c r="J11">
        <f t="shared" si="2"/>
        <v>1274004616.4141333</v>
      </c>
      <c r="K11">
        <f t="shared" si="3"/>
        <v>0</v>
      </c>
    </row>
    <row r="12" spans="1:15">
      <c r="A12" s="8">
        <v>42293</v>
      </c>
      <c r="B12">
        <v>47.02</v>
      </c>
      <c r="C12">
        <v>47.540000999999997</v>
      </c>
      <c r="D12">
        <v>46.900002000000001</v>
      </c>
      <c r="E12">
        <v>47.509998000000003</v>
      </c>
      <c r="F12">
        <v>42.518990000000002</v>
      </c>
      <c r="G12">
        <v>26450300</v>
      </c>
      <c r="H12">
        <f t="shared" si="0"/>
        <v>47.316666999999995</v>
      </c>
      <c r="I12">
        <f t="shared" si="1"/>
        <v>1251540037.1501</v>
      </c>
      <c r="J12">
        <f t="shared" si="2"/>
        <v>1251540037.1501</v>
      </c>
      <c r="K12">
        <f t="shared" si="3"/>
        <v>0</v>
      </c>
    </row>
    <row r="13" spans="1:15">
      <c r="A13" s="8">
        <v>42296</v>
      </c>
      <c r="B13">
        <v>47.419998</v>
      </c>
      <c r="C13">
        <v>47.880001</v>
      </c>
      <c r="D13">
        <v>47.02</v>
      </c>
      <c r="E13">
        <v>47.619999</v>
      </c>
      <c r="F13">
        <v>42.617435</v>
      </c>
      <c r="G13">
        <v>29387600</v>
      </c>
      <c r="H13">
        <f t="shared" si="0"/>
        <v>47.506666666666668</v>
      </c>
      <c r="I13">
        <f t="shared" si="1"/>
        <v>1396106917.3333333</v>
      </c>
      <c r="J13">
        <f t="shared" si="2"/>
        <v>1396106917.3333333</v>
      </c>
      <c r="K13">
        <f t="shared" si="3"/>
        <v>0</v>
      </c>
    </row>
    <row r="14" spans="1:15">
      <c r="A14" s="8">
        <v>42297</v>
      </c>
      <c r="B14">
        <v>47.439999</v>
      </c>
      <c r="C14">
        <v>47.810001</v>
      </c>
      <c r="D14">
        <v>47.02</v>
      </c>
      <c r="E14">
        <v>47.77</v>
      </c>
      <c r="F14">
        <v>42.751671000000002</v>
      </c>
      <c r="G14">
        <v>30802200</v>
      </c>
      <c r="H14">
        <f t="shared" si="0"/>
        <v>47.533333666666671</v>
      </c>
      <c r="I14">
        <f t="shared" si="1"/>
        <v>1464131250.2674</v>
      </c>
      <c r="J14">
        <f t="shared" si="2"/>
        <v>1464131250.2674</v>
      </c>
      <c r="K14">
        <f t="shared" si="3"/>
        <v>0</v>
      </c>
    </row>
    <row r="15" spans="1:15">
      <c r="A15" s="8">
        <v>42298</v>
      </c>
      <c r="B15">
        <v>47.919998</v>
      </c>
      <c r="C15">
        <v>47.990001999999997</v>
      </c>
      <c r="D15">
        <v>47.110000999999997</v>
      </c>
      <c r="E15">
        <v>47.200001</v>
      </c>
      <c r="F15">
        <v>42.241562000000002</v>
      </c>
      <c r="G15">
        <v>25144300</v>
      </c>
      <c r="H15">
        <f t="shared" si="0"/>
        <v>47.433334666666667</v>
      </c>
      <c r="I15">
        <f t="shared" si="1"/>
        <v>1192677996.8590667</v>
      </c>
      <c r="J15">
        <f t="shared" si="2"/>
        <v>0</v>
      </c>
      <c r="K15">
        <f t="shared" si="3"/>
        <v>1192677996.8590667</v>
      </c>
      <c r="L15">
        <f t="shared" ref="L15:L78" si="4">SUM(J2:J15)</f>
        <v>12121799613.213968</v>
      </c>
      <c r="M15">
        <f t="shared" ref="M15:M78" si="5">SUM(K2:K15)</f>
        <v>4568235238.6869335</v>
      </c>
      <c r="N15">
        <f t="shared" ref="N15:N78" si="6">L15/M15</f>
        <v>2.6534972434340283</v>
      </c>
      <c r="O15">
        <f t="shared" ref="O15:O78" si="7">100-(100/(1+N15))</f>
        <v>72.628965252480356</v>
      </c>
    </row>
    <row r="16" spans="1:15">
      <c r="A16" s="8">
        <v>42299</v>
      </c>
      <c r="B16">
        <v>47.529998999999997</v>
      </c>
      <c r="C16">
        <v>48.950001</v>
      </c>
      <c r="D16">
        <v>47.09</v>
      </c>
      <c r="E16">
        <v>48.029998999999997</v>
      </c>
      <c r="F16">
        <v>42.984355999999998</v>
      </c>
      <c r="G16">
        <v>56637100</v>
      </c>
      <c r="H16">
        <f t="shared" si="0"/>
        <v>48.023333333333333</v>
      </c>
      <c r="I16">
        <f t="shared" si="1"/>
        <v>2719902332.3333335</v>
      </c>
      <c r="J16">
        <f t="shared" si="2"/>
        <v>2719902332.3333335</v>
      </c>
      <c r="K16">
        <f t="shared" si="3"/>
        <v>0</v>
      </c>
      <c r="L16">
        <f t="shared" si="4"/>
        <v>14841701945.547302</v>
      </c>
      <c r="M16">
        <f t="shared" si="5"/>
        <v>4568235238.6869335</v>
      </c>
      <c r="N16">
        <f t="shared" si="6"/>
        <v>3.2488917864512845</v>
      </c>
      <c r="O16">
        <f t="shared" si="7"/>
        <v>76.464451196691698</v>
      </c>
    </row>
    <row r="17" spans="1:15">
      <c r="A17" s="8">
        <v>42300</v>
      </c>
      <c r="B17">
        <v>52.299999</v>
      </c>
      <c r="C17">
        <v>54.07</v>
      </c>
      <c r="D17">
        <v>52.25</v>
      </c>
      <c r="E17">
        <v>52.869999</v>
      </c>
      <c r="F17">
        <v>47.315907000000003</v>
      </c>
      <c r="G17">
        <v>135227100</v>
      </c>
      <c r="H17">
        <f t="shared" si="0"/>
        <v>53.063333</v>
      </c>
      <c r="I17">
        <f t="shared" si="1"/>
        <v>7175600637.9243002</v>
      </c>
      <c r="J17">
        <f t="shared" si="2"/>
        <v>7175600637.9243002</v>
      </c>
      <c r="K17">
        <f t="shared" si="3"/>
        <v>0</v>
      </c>
      <c r="L17">
        <f t="shared" si="4"/>
        <v>20422337923.348499</v>
      </c>
      <c r="M17">
        <f t="shared" si="5"/>
        <v>4568235238.6869335</v>
      </c>
      <c r="N17">
        <f t="shared" si="6"/>
        <v>4.4705092571411829</v>
      </c>
      <c r="O17">
        <f t="shared" si="7"/>
        <v>81.720166204003704</v>
      </c>
    </row>
    <row r="18" spans="1:15">
      <c r="A18" s="8">
        <v>42303</v>
      </c>
      <c r="B18">
        <v>52.529998999999997</v>
      </c>
      <c r="C18">
        <v>54.32</v>
      </c>
      <c r="D18">
        <v>52.5</v>
      </c>
      <c r="E18">
        <v>54.25</v>
      </c>
      <c r="F18">
        <v>48.550941000000002</v>
      </c>
      <c r="G18">
        <v>64633300</v>
      </c>
      <c r="H18">
        <f t="shared" si="0"/>
        <v>53.69</v>
      </c>
      <c r="I18">
        <f t="shared" si="1"/>
        <v>3470161877</v>
      </c>
      <c r="J18">
        <f t="shared" si="2"/>
        <v>3470161877</v>
      </c>
      <c r="K18">
        <f t="shared" si="3"/>
        <v>0</v>
      </c>
      <c r="L18">
        <f t="shared" si="4"/>
        <v>22630346264.676102</v>
      </c>
      <c r="M18">
        <f t="shared" si="5"/>
        <v>4568235238.6869335</v>
      </c>
      <c r="N18">
        <f t="shared" si="6"/>
        <v>4.953848714494141</v>
      </c>
      <c r="O18">
        <f t="shared" si="7"/>
        <v>83.204141590538157</v>
      </c>
    </row>
    <row r="19" spans="1:15">
      <c r="A19" s="8">
        <v>42304</v>
      </c>
      <c r="B19">
        <v>53.990001999999997</v>
      </c>
      <c r="C19">
        <v>54.369999</v>
      </c>
      <c r="D19">
        <v>53.580002</v>
      </c>
      <c r="E19">
        <v>53.689999</v>
      </c>
      <c r="F19">
        <v>48.049767000000003</v>
      </c>
      <c r="G19">
        <v>50999900</v>
      </c>
      <c r="H19">
        <f t="shared" si="0"/>
        <v>53.879999999999995</v>
      </c>
      <c r="I19">
        <f t="shared" si="1"/>
        <v>2747874612</v>
      </c>
      <c r="J19">
        <f t="shared" si="2"/>
        <v>2747874612</v>
      </c>
      <c r="K19">
        <f t="shared" si="3"/>
        <v>0</v>
      </c>
      <c r="L19">
        <f t="shared" si="4"/>
        <v>25378220876.676102</v>
      </c>
      <c r="M19">
        <f t="shared" si="5"/>
        <v>3274108207.1612663</v>
      </c>
      <c r="N19">
        <f t="shared" si="6"/>
        <v>7.7511857491966198</v>
      </c>
      <c r="O19">
        <f t="shared" si="7"/>
        <v>88.572977095226179</v>
      </c>
    </row>
    <row r="20" spans="1:15">
      <c r="A20" s="8">
        <v>42305</v>
      </c>
      <c r="B20">
        <v>53.540000999999997</v>
      </c>
      <c r="C20">
        <v>53.98</v>
      </c>
      <c r="D20">
        <v>52.860000999999997</v>
      </c>
      <c r="E20">
        <v>53.98</v>
      </c>
      <c r="F20">
        <v>48.309311000000001</v>
      </c>
      <c r="G20">
        <v>47000800</v>
      </c>
      <c r="H20">
        <f t="shared" si="0"/>
        <v>53.606666999999995</v>
      </c>
      <c r="I20">
        <f t="shared" si="1"/>
        <v>2519556234.3335996</v>
      </c>
      <c r="J20">
        <f t="shared" si="2"/>
        <v>0</v>
      </c>
      <c r="K20">
        <f t="shared" si="3"/>
        <v>2519556234.3335996</v>
      </c>
      <c r="L20">
        <f t="shared" si="4"/>
        <v>23785612909.085197</v>
      </c>
      <c r="M20">
        <f t="shared" si="5"/>
        <v>5793664441.4948654</v>
      </c>
      <c r="N20">
        <f t="shared" si="6"/>
        <v>4.1054522831405293</v>
      </c>
      <c r="O20">
        <f t="shared" si="7"/>
        <v>80.413096733814399</v>
      </c>
    </row>
    <row r="21" spans="1:15">
      <c r="A21" s="8">
        <v>42306</v>
      </c>
      <c r="B21">
        <v>53.540000999999997</v>
      </c>
      <c r="C21">
        <v>53.830002</v>
      </c>
      <c r="D21">
        <v>53.220001000000003</v>
      </c>
      <c r="E21">
        <v>53.360000999999997</v>
      </c>
      <c r="F21">
        <v>47.754432999999999</v>
      </c>
      <c r="G21">
        <v>30202100</v>
      </c>
      <c r="H21">
        <f t="shared" si="0"/>
        <v>53.470001333333336</v>
      </c>
      <c r="I21">
        <f t="shared" si="1"/>
        <v>1614906327.2694666</v>
      </c>
      <c r="J21">
        <f t="shared" si="2"/>
        <v>0</v>
      </c>
      <c r="K21">
        <f t="shared" si="3"/>
        <v>1614906327.2694666</v>
      </c>
      <c r="L21">
        <f t="shared" si="4"/>
        <v>22435950595.085201</v>
      </c>
      <c r="M21">
        <f t="shared" si="5"/>
        <v>7408570768.7643318</v>
      </c>
      <c r="N21">
        <f t="shared" si="6"/>
        <v>3.0283777121598949</v>
      </c>
      <c r="O21">
        <f t="shared" si="7"/>
        <v>75.176111292110434</v>
      </c>
    </row>
    <row r="22" spans="1:15">
      <c r="A22" s="8">
        <v>42307</v>
      </c>
      <c r="B22">
        <v>53.32</v>
      </c>
      <c r="C22">
        <v>53.990001999999997</v>
      </c>
      <c r="D22">
        <v>52.619999</v>
      </c>
      <c r="E22">
        <v>52.639999000000003</v>
      </c>
      <c r="F22">
        <v>47.110081000000001</v>
      </c>
      <c r="G22">
        <v>46619800</v>
      </c>
      <c r="H22">
        <f t="shared" si="0"/>
        <v>53.083333333333336</v>
      </c>
      <c r="I22">
        <f t="shared" si="1"/>
        <v>2474734383.3333335</v>
      </c>
      <c r="J22">
        <f t="shared" si="2"/>
        <v>0</v>
      </c>
      <c r="K22">
        <f t="shared" si="3"/>
        <v>2474734383.3333335</v>
      </c>
      <c r="L22">
        <f t="shared" si="4"/>
        <v>22435950595.085201</v>
      </c>
      <c r="M22">
        <f t="shared" si="5"/>
        <v>8956991023.0976658</v>
      </c>
      <c r="N22">
        <f t="shared" si="6"/>
        <v>2.5048535314179654</v>
      </c>
      <c r="O22">
        <f t="shared" si="7"/>
        <v>71.46813722639564</v>
      </c>
    </row>
    <row r="23" spans="1:15">
      <c r="A23" s="8">
        <v>42310</v>
      </c>
      <c r="B23">
        <v>52.849997999999999</v>
      </c>
      <c r="C23">
        <v>53.360000999999997</v>
      </c>
      <c r="D23">
        <v>52.619999</v>
      </c>
      <c r="E23">
        <v>53.240001999999997</v>
      </c>
      <c r="F23">
        <v>47.647044999999999</v>
      </c>
      <c r="G23">
        <v>30285000</v>
      </c>
      <c r="H23">
        <f t="shared" si="0"/>
        <v>53.073333999999996</v>
      </c>
      <c r="I23">
        <f t="shared" si="1"/>
        <v>1607325920.1899998</v>
      </c>
      <c r="J23">
        <f t="shared" si="2"/>
        <v>0</v>
      </c>
      <c r="K23">
        <f t="shared" si="3"/>
        <v>1607325920.1899998</v>
      </c>
      <c r="L23">
        <f t="shared" si="4"/>
        <v>21499322280.4226</v>
      </c>
      <c r="M23">
        <f t="shared" si="5"/>
        <v>10564316943.287666</v>
      </c>
      <c r="N23">
        <f t="shared" si="6"/>
        <v>2.035088723278299</v>
      </c>
      <c r="O23">
        <f t="shared" si="7"/>
        <v>67.052034020281724</v>
      </c>
    </row>
    <row r="24" spans="1:15">
      <c r="A24" s="8">
        <v>42311</v>
      </c>
      <c r="B24">
        <v>52.93</v>
      </c>
      <c r="C24">
        <v>54.389999000000003</v>
      </c>
      <c r="D24">
        <v>52.900002000000001</v>
      </c>
      <c r="E24">
        <v>54.150002000000001</v>
      </c>
      <c r="F24">
        <v>48.461449000000002</v>
      </c>
      <c r="G24">
        <v>36596900</v>
      </c>
      <c r="H24">
        <f t="shared" si="0"/>
        <v>53.81333433333333</v>
      </c>
      <c r="I24">
        <f t="shared" si="1"/>
        <v>1969401215.2635665</v>
      </c>
      <c r="J24">
        <f t="shared" si="2"/>
        <v>1969401215.2635665</v>
      </c>
      <c r="K24">
        <f t="shared" si="3"/>
        <v>0</v>
      </c>
      <c r="L24">
        <f t="shared" si="4"/>
        <v>23468723495.686165</v>
      </c>
      <c r="M24">
        <f t="shared" si="5"/>
        <v>9409200861.985466</v>
      </c>
      <c r="N24">
        <f t="shared" si="6"/>
        <v>2.4942313210150724</v>
      </c>
      <c r="O24">
        <f t="shared" si="7"/>
        <v>71.381402427887906</v>
      </c>
    </row>
    <row r="25" spans="1:15">
      <c r="A25" s="8">
        <v>42312</v>
      </c>
      <c r="B25">
        <v>54.18</v>
      </c>
      <c r="C25">
        <v>54.880001</v>
      </c>
      <c r="D25">
        <v>54.060001</v>
      </c>
      <c r="E25">
        <v>54.400002000000001</v>
      </c>
      <c r="F25">
        <v>48.685184</v>
      </c>
      <c r="G25">
        <v>37087800</v>
      </c>
      <c r="H25">
        <f t="shared" si="0"/>
        <v>54.446667999999995</v>
      </c>
      <c r="I25">
        <f t="shared" si="1"/>
        <v>2019307133.4503999</v>
      </c>
      <c r="J25">
        <f t="shared" si="2"/>
        <v>2019307133.4503999</v>
      </c>
      <c r="K25">
        <f t="shared" si="3"/>
        <v>0</v>
      </c>
      <c r="L25">
        <f t="shared" si="4"/>
        <v>24214026012.722435</v>
      </c>
      <c r="M25">
        <f t="shared" si="5"/>
        <v>9409200861.985466</v>
      </c>
      <c r="N25">
        <f t="shared" si="6"/>
        <v>2.5734412909124522</v>
      </c>
      <c r="O25">
        <f t="shared" si="7"/>
        <v>72.015770832920069</v>
      </c>
    </row>
    <row r="26" spans="1:15">
      <c r="A26" s="8">
        <v>42313</v>
      </c>
      <c r="B26">
        <v>54.490001999999997</v>
      </c>
      <c r="C26">
        <v>54.700001</v>
      </c>
      <c r="D26">
        <v>54</v>
      </c>
      <c r="E26">
        <v>54.380001</v>
      </c>
      <c r="F26">
        <v>48.667290000000001</v>
      </c>
      <c r="G26">
        <v>31468500</v>
      </c>
      <c r="H26">
        <f t="shared" si="0"/>
        <v>54.360000666666672</v>
      </c>
      <c r="I26">
        <f t="shared" si="1"/>
        <v>1710627680.9790001</v>
      </c>
      <c r="J26">
        <f t="shared" si="2"/>
        <v>0</v>
      </c>
      <c r="K26">
        <f t="shared" si="3"/>
        <v>1710627680.9790001</v>
      </c>
      <c r="L26">
        <f t="shared" si="4"/>
        <v>22962485975.572334</v>
      </c>
      <c r="M26">
        <f t="shared" si="5"/>
        <v>11119828542.964466</v>
      </c>
      <c r="N26">
        <f t="shared" si="6"/>
        <v>2.0650036002669068</v>
      </c>
      <c r="O26">
        <f t="shared" si="7"/>
        <v>67.373610918012702</v>
      </c>
    </row>
    <row r="27" spans="1:15">
      <c r="A27" s="8">
        <v>42314</v>
      </c>
      <c r="B27">
        <v>54.09</v>
      </c>
      <c r="C27">
        <v>54.98</v>
      </c>
      <c r="D27">
        <v>53.959999000000003</v>
      </c>
      <c r="E27">
        <v>54.919998</v>
      </c>
      <c r="F27">
        <v>49.150557999999997</v>
      </c>
      <c r="G27">
        <v>32851200</v>
      </c>
      <c r="H27">
        <f t="shared" si="0"/>
        <v>54.619999</v>
      </c>
      <c r="I27">
        <f t="shared" si="1"/>
        <v>1794332511.1487999</v>
      </c>
      <c r="J27">
        <f t="shared" si="2"/>
        <v>1794332511.1487999</v>
      </c>
      <c r="K27">
        <f t="shared" si="3"/>
        <v>0</v>
      </c>
      <c r="L27">
        <f t="shared" si="4"/>
        <v>23360711569.387798</v>
      </c>
      <c r="M27">
        <f t="shared" si="5"/>
        <v>11119828542.964466</v>
      </c>
      <c r="N27">
        <f t="shared" si="6"/>
        <v>2.1008158065681832</v>
      </c>
      <c r="O27">
        <f t="shared" si="7"/>
        <v>67.750422392655878</v>
      </c>
    </row>
    <row r="28" spans="1:15">
      <c r="A28" s="8">
        <v>42317</v>
      </c>
      <c r="B28">
        <v>54.549999</v>
      </c>
      <c r="C28">
        <v>54.869999</v>
      </c>
      <c r="D28">
        <v>53.560001</v>
      </c>
      <c r="E28">
        <v>54.16</v>
      </c>
      <c r="F28">
        <v>48.470390000000002</v>
      </c>
      <c r="G28">
        <v>32513100</v>
      </c>
      <c r="H28">
        <f t="shared" si="0"/>
        <v>54.196666666666665</v>
      </c>
      <c r="I28">
        <f t="shared" si="1"/>
        <v>1762101643</v>
      </c>
      <c r="J28">
        <f t="shared" si="2"/>
        <v>0</v>
      </c>
      <c r="K28">
        <f t="shared" si="3"/>
        <v>1762101643</v>
      </c>
      <c r="L28">
        <f t="shared" si="4"/>
        <v>21896580319.120399</v>
      </c>
      <c r="M28">
        <f t="shared" si="5"/>
        <v>12881930185.964466</v>
      </c>
      <c r="N28">
        <f t="shared" si="6"/>
        <v>1.6997903266839518</v>
      </c>
      <c r="O28">
        <f t="shared" si="7"/>
        <v>62.96008656241608</v>
      </c>
    </row>
    <row r="29" spans="1:15">
      <c r="A29" s="8">
        <v>42318</v>
      </c>
      <c r="B29">
        <v>54.07</v>
      </c>
      <c r="C29">
        <v>54.130001</v>
      </c>
      <c r="D29">
        <v>53.27</v>
      </c>
      <c r="E29">
        <v>53.509998000000003</v>
      </c>
      <c r="F29">
        <v>47.888680000000001</v>
      </c>
      <c r="G29">
        <v>55283700</v>
      </c>
      <c r="H29">
        <f t="shared" si="0"/>
        <v>53.636666333333331</v>
      </c>
      <c r="I29">
        <f t="shared" si="1"/>
        <v>2965233370.5720997</v>
      </c>
      <c r="J29">
        <f t="shared" si="2"/>
        <v>0</v>
      </c>
      <c r="K29">
        <f t="shared" si="3"/>
        <v>2965233370.5720997</v>
      </c>
      <c r="L29">
        <f t="shared" si="4"/>
        <v>21896580319.120399</v>
      </c>
      <c r="M29">
        <f t="shared" si="5"/>
        <v>14654485559.6775</v>
      </c>
      <c r="N29">
        <f t="shared" si="6"/>
        <v>1.494189627466</v>
      </c>
      <c r="O29">
        <f t="shared" si="7"/>
        <v>59.906817469369351</v>
      </c>
    </row>
    <row r="30" spans="1:15">
      <c r="A30" s="8">
        <v>42319</v>
      </c>
      <c r="B30">
        <v>53.700001</v>
      </c>
      <c r="C30">
        <v>54.200001</v>
      </c>
      <c r="D30">
        <v>53.459999000000003</v>
      </c>
      <c r="E30">
        <v>53.650002000000001</v>
      </c>
      <c r="F30">
        <v>48.013973</v>
      </c>
      <c r="G30">
        <v>36516300</v>
      </c>
      <c r="H30">
        <f t="shared" si="0"/>
        <v>53.770000666666668</v>
      </c>
      <c r="I30">
        <f t="shared" si="1"/>
        <v>1963481475.3442001</v>
      </c>
      <c r="J30">
        <f t="shared" si="2"/>
        <v>1963481475.3442001</v>
      </c>
      <c r="K30">
        <f t="shared" si="3"/>
        <v>0</v>
      </c>
      <c r="L30">
        <f t="shared" si="4"/>
        <v>21140159462.131268</v>
      </c>
      <c r="M30">
        <f t="shared" si="5"/>
        <v>14654485559.6775</v>
      </c>
      <c r="N30">
        <f t="shared" si="6"/>
        <v>1.4425726086420529</v>
      </c>
      <c r="O30">
        <f t="shared" si="7"/>
        <v>59.059558906789285</v>
      </c>
    </row>
    <row r="31" spans="1:15">
      <c r="A31" s="8">
        <v>42320</v>
      </c>
      <c r="B31">
        <v>53.48</v>
      </c>
      <c r="C31">
        <v>53.98</v>
      </c>
      <c r="D31">
        <v>53.189999</v>
      </c>
      <c r="E31">
        <v>53.32</v>
      </c>
      <c r="F31">
        <v>47.718639000000003</v>
      </c>
      <c r="G31">
        <v>35361100</v>
      </c>
      <c r="H31">
        <f t="shared" si="0"/>
        <v>53.49666633333333</v>
      </c>
      <c r="I31">
        <f t="shared" si="1"/>
        <v>1891700967.8796332</v>
      </c>
      <c r="J31">
        <f t="shared" si="2"/>
        <v>0</v>
      </c>
      <c r="K31">
        <f t="shared" si="3"/>
        <v>1891700967.8796332</v>
      </c>
      <c r="L31">
        <f t="shared" si="4"/>
        <v>13964558824.206966</v>
      </c>
      <c r="M31">
        <f t="shared" si="5"/>
        <v>16546186527.557133</v>
      </c>
      <c r="N31">
        <f t="shared" si="6"/>
        <v>0.84397445906641089</v>
      </c>
      <c r="O31">
        <f t="shared" si="7"/>
        <v>45.76931393581819</v>
      </c>
    </row>
    <row r="32" spans="1:15">
      <c r="A32" s="8">
        <v>42321</v>
      </c>
      <c r="B32">
        <v>53.07</v>
      </c>
      <c r="C32">
        <v>53.290000999999997</v>
      </c>
      <c r="D32">
        <v>52.529998999999997</v>
      </c>
      <c r="E32">
        <v>52.84</v>
      </c>
      <c r="F32">
        <v>47.289073999999999</v>
      </c>
      <c r="G32">
        <v>36848200</v>
      </c>
      <c r="H32">
        <f t="shared" si="0"/>
        <v>52.886666666666663</v>
      </c>
      <c r="I32">
        <f t="shared" si="1"/>
        <v>1948778470.6666665</v>
      </c>
      <c r="J32">
        <f t="shared" si="2"/>
        <v>0</v>
      </c>
      <c r="K32">
        <f t="shared" si="3"/>
        <v>1948778470.6666665</v>
      </c>
      <c r="L32">
        <f t="shared" si="4"/>
        <v>10494396947.206966</v>
      </c>
      <c r="M32">
        <f t="shared" si="5"/>
        <v>18494964998.223801</v>
      </c>
      <c r="N32">
        <f t="shared" si="6"/>
        <v>0.56741912992075494</v>
      </c>
      <c r="O32">
        <f t="shared" si="7"/>
        <v>36.200855220482239</v>
      </c>
    </row>
    <row r="33" spans="1:15">
      <c r="A33" s="8">
        <v>42324</v>
      </c>
      <c r="B33">
        <v>53.080002</v>
      </c>
      <c r="C33">
        <v>53.889999000000003</v>
      </c>
      <c r="D33">
        <v>52.849997999999999</v>
      </c>
      <c r="E33">
        <v>53.77</v>
      </c>
      <c r="F33">
        <v>48.121372000000001</v>
      </c>
      <c r="G33">
        <v>32165200</v>
      </c>
      <c r="H33">
        <f t="shared" si="0"/>
        <v>53.503332333333333</v>
      </c>
      <c r="I33">
        <f t="shared" si="1"/>
        <v>1720945385.1681333</v>
      </c>
      <c r="J33">
        <f t="shared" si="2"/>
        <v>1720945385.1681333</v>
      </c>
      <c r="K33">
        <f t="shared" si="3"/>
        <v>0</v>
      </c>
      <c r="L33">
        <f t="shared" si="4"/>
        <v>9467467720.3750992</v>
      </c>
      <c r="M33">
        <f t="shared" si="5"/>
        <v>18494964998.223801</v>
      </c>
      <c r="N33">
        <f t="shared" si="6"/>
        <v>0.51189433022902853</v>
      </c>
      <c r="O33">
        <f t="shared" si="7"/>
        <v>33.857811355869316</v>
      </c>
    </row>
    <row r="34" spans="1:15">
      <c r="A34" s="8">
        <v>42325</v>
      </c>
      <c r="B34">
        <v>53.169998</v>
      </c>
      <c r="C34">
        <v>53.529998999999997</v>
      </c>
      <c r="D34">
        <v>52.849997999999999</v>
      </c>
      <c r="E34">
        <v>52.970001000000003</v>
      </c>
      <c r="F34">
        <v>47.724933999999998</v>
      </c>
      <c r="G34">
        <v>31551300</v>
      </c>
      <c r="H34">
        <f t="shared" si="0"/>
        <v>53.116666000000002</v>
      </c>
      <c r="I34">
        <f t="shared" si="1"/>
        <v>1675899863.9658</v>
      </c>
      <c r="J34">
        <f t="shared" si="2"/>
        <v>0</v>
      </c>
      <c r="K34">
        <f t="shared" si="3"/>
        <v>1675899863.9658</v>
      </c>
      <c r="L34">
        <f t="shared" si="4"/>
        <v>9467467720.3750992</v>
      </c>
      <c r="M34">
        <f t="shared" si="5"/>
        <v>17651308627.855999</v>
      </c>
      <c r="N34">
        <f t="shared" si="6"/>
        <v>0.53636066990717257</v>
      </c>
      <c r="O34">
        <f t="shared" si="7"/>
        <v>34.911116928004915</v>
      </c>
    </row>
    <row r="35" spans="1:15">
      <c r="A35" s="8">
        <v>42326</v>
      </c>
      <c r="B35">
        <v>53</v>
      </c>
      <c r="C35">
        <v>53.98</v>
      </c>
      <c r="D35">
        <v>52.98</v>
      </c>
      <c r="E35">
        <v>53.849997999999999</v>
      </c>
      <c r="F35">
        <v>48.517795999999997</v>
      </c>
      <c r="G35">
        <v>29710000</v>
      </c>
      <c r="H35">
        <f t="shared" si="0"/>
        <v>53.603332666666667</v>
      </c>
      <c r="I35">
        <f t="shared" si="1"/>
        <v>1592555013.5266666</v>
      </c>
      <c r="J35">
        <f t="shared" si="2"/>
        <v>1592555013.5266666</v>
      </c>
      <c r="K35">
        <f t="shared" si="3"/>
        <v>0</v>
      </c>
      <c r="L35">
        <f t="shared" si="4"/>
        <v>11060022733.901766</v>
      </c>
      <c r="M35">
        <f t="shared" si="5"/>
        <v>16036402300.586531</v>
      </c>
      <c r="N35">
        <f t="shared" si="6"/>
        <v>0.68968229448180196</v>
      </c>
      <c r="O35">
        <f t="shared" si="7"/>
        <v>40.81727652199352</v>
      </c>
    </row>
    <row r="36" spans="1:15">
      <c r="A36" s="8">
        <v>42327</v>
      </c>
      <c r="B36">
        <v>53.990001999999997</v>
      </c>
      <c r="C36">
        <v>54.66</v>
      </c>
      <c r="D36">
        <v>53.779998999999997</v>
      </c>
      <c r="E36">
        <v>53.939999</v>
      </c>
      <c r="F36">
        <v>48.598888000000002</v>
      </c>
      <c r="G36">
        <v>28149200</v>
      </c>
      <c r="H36">
        <f t="shared" si="0"/>
        <v>54.126666</v>
      </c>
      <c r="I36">
        <f t="shared" si="1"/>
        <v>1523622346.5671999</v>
      </c>
      <c r="J36">
        <f t="shared" si="2"/>
        <v>1523622346.5671999</v>
      </c>
      <c r="K36">
        <f t="shared" si="3"/>
        <v>0</v>
      </c>
      <c r="L36">
        <f t="shared" si="4"/>
        <v>12583645080.468966</v>
      </c>
      <c r="M36">
        <f t="shared" si="5"/>
        <v>13561667917.253199</v>
      </c>
      <c r="N36">
        <f t="shared" si="6"/>
        <v>0.92788329261919256</v>
      </c>
      <c r="O36">
        <f t="shared" si="7"/>
        <v>48.129640221041832</v>
      </c>
    </row>
    <row r="37" spans="1:15">
      <c r="A37" s="8">
        <v>42328</v>
      </c>
      <c r="B37">
        <v>54.25</v>
      </c>
      <c r="C37">
        <v>54.299999</v>
      </c>
      <c r="D37">
        <v>53.27</v>
      </c>
      <c r="E37">
        <v>54.189999</v>
      </c>
      <c r="F37">
        <v>48.824131000000001</v>
      </c>
      <c r="G37">
        <v>37147600</v>
      </c>
      <c r="H37">
        <f t="shared" si="0"/>
        <v>53.91999933333333</v>
      </c>
      <c r="I37">
        <f t="shared" si="1"/>
        <v>2002998567.2349331</v>
      </c>
      <c r="J37">
        <f t="shared" si="2"/>
        <v>0</v>
      </c>
      <c r="K37">
        <f t="shared" si="3"/>
        <v>2002998567.2349331</v>
      </c>
      <c r="L37">
        <f t="shared" si="4"/>
        <v>12583645080.468966</v>
      </c>
      <c r="M37">
        <f t="shared" si="5"/>
        <v>13957340564.298132</v>
      </c>
      <c r="N37">
        <f t="shared" si="6"/>
        <v>0.90157899511723749</v>
      </c>
      <c r="O37">
        <f t="shared" si="7"/>
        <v>47.412124210051694</v>
      </c>
    </row>
    <row r="38" spans="1:15">
      <c r="A38" s="8">
        <v>42331</v>
      </c>
      <c r="B38">
        <v>54.25</v>
      </c>
      <c r="C38">
        <v>54.459999000000003</v>
      </c>
      <c r="D38">
        <v>53.75</v>
      </c>
      <c r="E38">
        <v>54.189999</v>
      </c>
      <c r="F38">
        <v>48.824131000000001</v>
      </c>
      <c r="G38">
        <v>28235900</v>
      </c>
      <c r="H38">
        <f t="shared" si="0"/>
        <v>54.133332666666668</v>
      </c>
      <c r="I38">
        <f t="shared" si="1"/>
        <v>1528503367.8427334</v>
      </c>
      <c r="J38">
        <f t="shared" si="2"/>
        <v>1528503367.8427334</v>
      </c>
      <c r="K38">
        <f t="shared" si="3"/>
        <v>0</v>
      </c>
      <c r="L38">
        <f t="shared" si="4"/>
        <v>12142747233.048132</v>
      </c>
      <c r="M38">
        <f t="shared" si="5"/>
        <v>13957340564.298132</v>
      </c>
      <c r="N38">
        <f t="shared" si="6"/>
        <v>0.86999003693500188</v>
      </c>
      <c r="O38">
        <f t="shared" si="7"/>
        <v>46.523779258255018</v>
      </c>
    </row>
    <row r="39" spans="1:15">
      <c r="A39" s="8">
        <v>42332</v>
      </c>
      <c r="B39">
        <v>53.919998</v>
      </c>
      <c r="C39">
        <v>54.439999</v>
      </c>
      <c r="D39">
        <v>53.580002</v>
      </c>
      <c r="E39">
        <v>54.25</v>
      </c>
      <c r="F39">
        <v>48.878188999999999</v>
      </c>
      <c r="G39">
        <v>24600000</v>
      </c>
      <c r="H39">
        <f t="shared" si="0"/>
        <v>54.090000333333336</v>
      </c>
      <c r="I39">
        <f t="shared" si="1"/>
        <v>1330614008.2</v>
      </c>
      <c r="J39">
        <f t="shared" si="2"/>
        <v>0</v>
      </c>
      <c r="K39">
        <f t="shared" si="3"/>
        <v>1330614008.2</v>
      </c>
      <c r="L39">
        <f t="shared" si="4"/>
        <v>10123440099.597733</v>
      </c>
      <c r="M39">
        <f t="shared" si="5"/>
        <v>15287954572.498133</v>
      </c>
      <c r="N39">
        <f t="shared" si="6"/>
        <v>0.66218407777120369</v>
      </c>
      <c r="O39">
        <f t="shared" si="7"/>
        <v>39.838191607461177</v>
      </c>
    </row>
    <row r="40" spans="1:15">
      <c r="A40" s="8">
        <v>42333</v>
      </c>
      <c r="B40">
        <v>54.09</v>
      </c>
      <c r="C40">
        <v>54.23</v>
      </c>
      <c r="D40">
        <v>53.689999</v>
      </c>
      <c r="E40">
        <v>53.689999</v>
      </c>
      <c r="F40">
        <v>48.373641999999997</v>
      </c>
      <c r="G40">
        <v>21005100</v>
      </c>
      <c r="H40">
        <f t="shared" si="0"/>
        <v>53.869999333333332</v>
      </c>
      <c r="I40">
        <f t="shared" si="1"/>
        <v>1131544722.9965999</v>
      </c>
      <c r="J40">
        <f t="shared" si="2"/>
        <v>0</v>
      </c>
      <c r="K40">
        <f t="shared" si="3"/>
        <v>1131544722.9965999</v>
      </c>
      <c r="L40">
        <f t="shared" si="4"/>
        <v>10123440099.597733</v>
      </c>
      <c r="M40">
        <f t="shared" si="5"/>
        <v>14708871614.515732</v>
      </c>
      <c r="N40">
        <f t="shared" si="6"/>
        <v>0.68825402552342774</v>
      </c>
      <c r="O40">
        <f t="shared" si="7"/>
        <v>40.767207725747369</v>
      </c>
    </row>
    <row r="41" spans="1:15">
      <c r="A41" s="8">
        <v>42335</v>
      </c>
      <c r="B41">
        <v>53.799999</v>
      </c>
      <c r="C41">
        <v>54.080002</v>
      </c>
      <c r="D41">
        <v>53.790000999999997</v>
      </c>
      <c r="E41">
        <v>53.93</v>
      </c>
      <c r="F41">
        <v>48.589882000000003</v>
      </c>
      <c r="G41">
        <v>9009100</v>
      </c>
      <c r="H41">
        <f t="shared" si="0"/>
        <v>53.933334333333335</v>
      </c>
      <c r="I41">
        <f t="shared" si="1"/>
        <v>485890802.34243333</v>
      </c>
      <c r="J41">
        <f t="shared" si="2"/>
        <v>485890802.34243333</v>
      </c>
      <c r="K41">
        <f t="shared" si="3"/>
        <v>0</v>
      </c>
      <c r="L41">
        <f t="shared" si="4"/>
        <v>8814998390.7913666</v>
      </c>
      <c r="M41">
        <f t="shared" si="5"/>
        <v>14708871614.515732</v>
      </c>
      <c r="N41">
        <f t="shared" si="6"/>
        <v>0.59929807138245172</v>
      </c>
      <c r="O41">
        <f t="shared" si="7"/>
        <v>37.472568879196579</v>
      </c>
    </row>
    <row r="42" spans="1:15">
      <c r="A42" s="8">
        <v>42338</v>
      </c>
      <c r="B42">
        <v>54.540000999999997</v>
      </c>
      <c r="C42">
        <v>54.959999000000003</v>
      </c>
      <c r="D42">
        <v>54</v>
      </c>
      <c r="E42">
        <v>54.349997999999999</v>
      </c>
      <c r="F42">
        <v>48.968285000000002</v>
      </c>
      <c r="G42">
        <v>56241400</v>
      </c>
      <c r="H42">
        <f t="shared" si="0"/>
        <v>54.43666566666667</v>
      </c>
      <c r="I42">
        <f t="shared" si="1"/>
        <v>3061594288.4252667</v>
      </c>
      <c r="J42">
        <f t="shared" si="2"/>
        <v>3061594288.4252667</v>
      </c>
      <c r="K42">
        <f t="shared" si="3"/>
        <v>0</v>
      </c>
      <c r="L42">
        <f t="shared" si="4"/>
        <v>11876592679.216633</v>
      </c>
      <c r="M42">
        <f t="shared" si="5"/>
        <v>12946769971.515732</v>
      </c>
      <c r="N42">
        <f t="shared" si="6"/>
        <v>0.91734020959253915</v>
      </c>
      <c r="O42">
        <f t="shared" si="7"/>
        <v>47.844415143595533</v>
      </c>
    </row>
    <row r="43" spans="1:15">
      <c r="A43" s="8">
        <v>42339</v>
      </c>
      <c r="B43">
        <v>54.41</v>
      </c>
      <c r="C43">
        <v>55.23</v>
      </c>
      <c r="D43">
        <v>54.299999</v>
      </c>
      <c r="E43">
        <v>55.220001000000003</v>
      </c>
      <c r="F43">
        <v>49.752147999999998</v>
      </c>
      <c r="G43">
        <v>39952800</v>
      </c>
      <c r="H43">
        <f t="shared" si="0"/>
        <v>54.916666666666664</v>
      </c>
      <c r="I43">
        <f t="shared" si="1"/>
        <v>2194074600</v>
      </c>
      <c r="J43">
        <f t="shared" si="2"/>
        <v>2194074600</v>
      </c>
      <c r="K43">
        <f t="shared" si="3"/>
        <v>0</v>
      </c>
      <c r="L43">
        <f t="shared" si="4"/>
        <v>14070667279.216633</v>
      </c>
      <c r="M43">
        <f t="shared" si="5"/>
        <v>9981536600.9436321</v>
      </c>
      <c r="N43">
        <f t="shared" si="6"/>
        <v>1.4096694568936834</v>
      </c>
      <c r="O43">
        <f t="shared" si="7"/>
        <v>58.500532214526018</v>
      </c>
    </row>
    <row r="44" spans="1:15">
      <c r="A44" s="8">
        <v>42340</v>
      </c>
      <c r="B44">
        <v>55.32</v>
      </c>
      <c r="C44">
        <v>55.959999000000003</v>
      </c>
      <c r="D44">
        <v>55.060001</v>
      </c>
      <c r="E44">
        <v>55.209999000000003</v>
      </c>
      <c r="F44">
        <v>49.743130000000001</v>
      </c>
      <c r="G44">
        <v>47274900</v>
      </c>
      <c r="H44">
        <f t="shared" si="0"/>
        <v>55.409999666666671</v>
      </c>
      <c r="I44">
        <f t="shared" si="1"/>
        <v>2619502193.2417002</v>
      </c>
      <c r="J44">
        <f t="shared" si="2"/>
        <v>2619502193.2417002</v>
      </c>
      <c r="K44">
        <f t="shared" si="3"/>
        <v>0</v>
      </c>
      <c r="L44">
        <f t="shared" si="4"/>
        <v>14726687997.114132</v>
      </c>
      <c r="M44">
        <f t="shared" si="5"/>
        <v>9981536600.9436321</v>
      </c>
      <c r="N44">
        <f t="shared" si="6"/>
        <v>1.4753928764557056</v>
      </c>
      <c r="O44">
        <f t="shared" si="7"/>
        <v>59.602372233056968</v>
      </c>
    </row>
    <row r="45" spans="1:15">
      <c r="A45" s="8">
        <v>42341</v>
      </c>
      <c r="B45">
        <v>55.490001999999997</v>
      </c>
      <c r="C45">
        <v>55.77</v>
      </c>
      <c r="D45">
        <v>53.93</v>
      </c>
      <c r="E45">
        <v>54.200001</v>
      </c>
      <c r="F45">
        <v>48.833145000000002</v>
      </c>
      <c r="G45">
        <v>38627800</v>
      </c>
      <c r="H45">
        <f t="shared" si="0"/>
        <v>54.633333666666665</v>
      </c>
      <c r="I45">
        <f t="shared" si="1"/>
        <v>2110365486.2092667</v>
      </c>
      <c r="J45">
        <f t="shared" si="2"/>
        <v>0</v>
      </c>
      <c r="K45">
        <f t="shared" si="3"/>
        <v>2110365486.2092667</v>
      </c>
      <c r="L45">
        <f t="shared" si="4"/>
        <v>14726687997.114132</v>
      </c>
      <c r="M45">
        <f t="shared" si="5"/>
        <v>10200201119.273266</v>
      </c>
      <c r="N45">
        <f t="shared" si="6"/>
        <v>1.4437644733580866</v>
      </c>
      <c r="O45">
        <f t="shared" si="7"/>
        <v>59.079526243138524</v>
      </c>
    </row>
    <row r="46" spans="1:15">
      <c r="A46" s="8">
        <v>42342</v>
      </c>
      <c r="B46">
        <v>54.119999</v>
      </c>
      <c r="C46">
        <v>56.23</v>
      </c>
      <c r="D46">
        <v>54.099997999999999</v>
      </c>
      <c r="E46">
        <v>55.91</v>
      </c>
      <c r="F46">
        <v>50.373814000000003</v>
      </c>
      <c r="G46">
        <v>43963700</v>
      </c>
      <c r="H46">
        <f t="shared" si="0"/>
        <v>55.413332666666662</v>
      </c>
      <c r="I46">
        <f t="shared" si="1"/>
        <v>2436175133.357533</v>
      </c>
      <c r="J46">
        <f t="shared" si="2"/>
        <v>2436175133.357533</v>
      </c>
      <c r="K46">
        <f t="shared" si="3"/>
        <v>0</v>
      </c>
      <c r="L46">
        <f t="shared" si="4"/>
        <v>17162863130.471664</v>
      </c>
      <c r="M46">
        <f t="shared" si="5"/>
        <v>8251422648.6065998</v>
      </c>
      <c r="N46">
        <f t="shared" si="6"/>
        <v>2.0799883682324674</v>
      </c>
      <c r="O46">
        <f t="shared" si="7"/>
        <v>67.532344916812903</v>
      </c>
    </row>
    <row r="47" spans="1:15">
      <c r="A47" s="8">
        <v>42345</v>
      </c>
      <c r="B47">
        <v>55.790000999999997</v>
      </c>
      <c r="C47">
        <v>55.970001000000003</v>
      </c>
      <c r="D47">
        <v>55.290000999999997</v>
      </c>
      <c r="E47">
        <v>55.810001</v>
      </c>
      <c r="F47">
        <v>50.283721999999997</v>
      </c>
      <c r="G47">
        <v>30709800</v>
      </c>
      <c r="H47">
        <f t="shared" si="0"/>
        <v>55.690000999999995</v>
      </c>
      <c r="I47">
        <f t="shared" si="1"/>
        <v>1710228792.7097998</v>
      </c>
      <c r="J47">
        <f t="shared" si="2"/>
        <v>1710228792.7097998</v>
      </c>
      <c r="K47">
        <f t="shared" si="3"/>
        <v>0</v>
      </c>
      <c r="L47">
        <f t="shared" si="4"/>
        <v>17152146538.013332</v>
      </c>
      <c r="M47">
        <f t="shared" si="5"/>
        <v>8251422648.6065998</v>
      </c>
      <c r="N47">
        <f t="shared" si="6"/>
        <v>2.0786896112890036</v>
      </c>
      <c r="O47">
        <f t="shared" si="7"/>
        <v>67.518648312802327</v>
      </c>
    </row>
    <row r="48" spans="1:15">
      <c r="A48" s="8">
        <v>42346</v>
      </c>
      <c r="B48">
        <v>55.470001000000003</v>
      </c>
      <c r="C48">
        <v>56.099997999999999</v>
      </c>
      <c r="D48">
        <v>54.990001999999997</v>
      </c>
      <c r="E48">
        <v>55.790000999999997</v>
      </c>
      <c r="F48">
        <v>50.265704999999997</v>
      </c>
      <c r="G48">
        <v>32878000</v>
      </c>
      <c r="H48">
        <f t="shared" si="0"/>
        <v>55.626666999999998</v>
      </c>
      <c r="I48">
        <f t="shared" si="1"/>
        <v>1828893557.6259999</v>
      </c>
      <c r="J48">
        <f t="shared" si="2"/>
        <v>0</v>
      </c>
      <c r="K48">
        <f t="shared" si="3"/>
        <v>1828893557.6259999</v>
      </c>
      <c r="L48">
        <f t="shared" si="4"/>
        <v>17152146538.013332</v>
      </c>
      <c r="M48">
        <f t="shared" si="5"/>
        <v>8404416342.2667999</v>
      </c>
      <c r="N48">
        <f t="shared" si="6"/>
        <v>2.0408492201597825</v>
      </c>
      <c r="O48">
        <f t="shared" si="7"/>
        <v>67.114449694830483</v>
      </c>
    </row>
    <row r="49" spans="1:15">
      <c r="A49" s="8">
        <v>42347</v>
      </c>
      <c r="B49">
        <v>55.369999</v>
      </c>
      <c r="C49">
        <v>55.869999</v>
      </c>
      <c r="D49">
        <v>54.509998000000003</v>
      </c>
      <c r="E49">
        <v>54.98</v>
      </c>
      <c r="F49">
        <v>49.535899999999998</v>
      </c>
      <c r="G49">
        <v>36373200</v>
      </c>
      <c r="H49">
        <f t="shared" si="0"/>
        <v>55.119999</v>
      </c>
      <c r="I49">
        <f t="shared" si="1"/>
        <v>2004890747.6268001</v>
      </c>
      <c r="J49">
        <f t="shared" si="2"/>
        <v>0</v>
      </c>
      <c r="K49">
        <f t="shared" si="3"/>
        <v>2004890747.6268001</v>
      </c>
      <c r="L49">
        <f t="shared" si="4"/>
        <v>15559591524.486668</v>
      </c>
      <c r="M49">
        <f t="shared" si="5"/>
        <v>10409307089.8936</v>
      </c>
      <c r="N49">
        <f t="shared" si="6"/>
        <v>1.4947768751671742</v>
      </c>
      <c r="O49">
        <f t="shared" si="7"/>
        <v>59.916255038519616</v>
      </c>
    </row>
    <row r="50" spans="1:15">
      <c r="A50" s="8">
        <v>42348</v>
      </c>
      <c r="B50">
        <v>55.389999000000003</v>
      </c>
      <c r="C50">
        <v>55.66</v>
      </c>
      <c r="D50">
        <v>55.009998000000003</v>
      </c>
      <c r="E50">
        <v>55.27</v>
      </c>
      <c r="F50">
        <v>49.797192000000003</v>
      </c>
      <c r="G50">
        <v>31775800</v>
      </c>
      <c r="H50">
        <f t="shared" si="0"/>
        <v>55.313332666666668</v>
      </c>
      <c r="I50">
        <f t="shared" si="1"/>
        <v>1757625396.1494668</v>
      </c>
      <c r="J50">
        <f t="shared" si="2"/>
        <v>1757625396.1494668</v>
      </c>
      <c r="K50">
        <f t="shared" si="3"/>
        <v>0</v>
      </c>
      <c r="L50">
        <f t="shared" si="4"/>
        <v>15793594574.068935</v>
      </c>
      <c r="M50">
        <f t="shared" si="5"/>
        <v>10409307089.8936</v>
      </c>
      <c r="N50">
        <f t="shared" si="6"/>
        <v>1.5172570506064655</v>
      </c>
      <c r="O50">
        <f t="shared" si="7"/>
        <v>60.274219918896371</v>
      </c>
    </row>
    <row r="51" spans="1:15">
      <c r="A51" s="8">
        <v>42349</v>
      </c>
      <c r="B51">
        <v>54.709999000000003</v>
      </c>
      <c r="C51">
        <v>55.099997999999999</v>
      </c>
      <c r="D51">
        <v>54.009998000000003</v>
      </c>
      <c r="E51">
        <v>54.060001</v>
      </c>
      <c r="F51">
        <v>48.707000999999998</v>
      </c>
      <c r="G51">
        <v>39549500</v>
      </c>
      <c r="H51">
        <f t="shared" si="0"/>
        <v>54.389998999999996</v>
      </c>
      <c r="I51">
        <f t="shared" si="1"/>
        <v>2151097265.4505</v>
      </c>
      <c r="J51">
        <f t="shared" si="2"/>
        <v>0</v>
      </c>
      <c r="K51">
        <f t="shared" si="3"/>
        <v>2151097265.4505</v>
      </c>
      <c r="L51">
        <f t="shared" si="4"/>
        <v>15793594574.068935</v>
      </c>
      <c r="M51">
        <f t="shared" si="5"/>
        <v>10557405788.109167</v>
      </c>
      <c r="N51">
        <f t="shared" si="6"/>
        <v>1.4959730535182516</v>
      </c>
      <c r="O51">
        <f t="shared" si="7"/>
        <v>59.935464904541782</v>
      </c>
    </row>
    <row r="52" spans="1:15">
      <c r="A52" s="8">
        <v>42352</v>
      </c>
      <c r="B52">
        <v>54.330002</v>
      </c>
      <c r="C52">
        <v>55.209999000000003</v>
      </c>
      <c r="D52">
        <v>53.68</v>
      </c>
      <c r="E52">
        <v>55.139999000000003</v>
      </c>
      <c r="F52">
        <v>49.680064999999999</v>
      </c>
      <c r="G52">
        <v>46768900</v>
      </c>
      <c r="H52">
        <f t="shared" si="0"/>
        <v>54.676666000000004</v>
      </c>
      <c r="I52">
        <f t="shared" si="1"/>
        <v>2557167524.4874001</v>
      </c>
      <c r="J52">
        <f t="shared" si="2"/>
        <v>2557167524.4874001</v>
      </c>
      <c r="K52">
        <f t="shared" si="3"/>
        <v>0</v>
      </c>
      <c r="L52">
        <f t="shared" si="4"/>
        <v>16822258730.7136</v>
      </c>
      <c r="M52">
        <f t="shared" si="5"/>
        <v>10557405788.109167</v>
      </c>
      <c r="N52">
        <f t="shared" si="6"/>
        <v>1.5934083683380393</v>
      </c>
      <c r="O52">
        <f t="shared" si="7"/>
        <v>61.44070435614271</v>
      </c>
    </row>
    <row r="53" spans="1:15">
      <c r="A53" s="8">
        <v>42353</v>
      </c>
      <c r="B53">
        <v>55.66</v>
      </c>
      <c r="C53">
        <v>55.900002000000001</v>
      </c>
      <c r="D53">
        <v>55.09</v>
      </c>
      <c r="E53">
        <v>55.200001</v>
      </c>
      <c r="F53">
        <v>49.734130999999998</v>
      </c>
      <c r="G53">
        <v>39843000</v>
      </c>
      <c r="H53">
        <f t="shared" si="0"/>
        <v>55.396667666666666</v>
      </c>
      <c r="I53">
        <f t="shared" si="1"/>
        <v>2207169429.8429999</v>
      </c>
      <c r="J53">
        <f t="shared" si="2"/>
        <v>2207169429.8429999</v>
      </c>
      <c r="K53">
        <f t="shared" si="3"/>
        <v>0</v>
      </c>
      <c r="L53">
        <f t="shared" si="4"/>
        <v>19029428160.556599</v>
      </c>
      <c r="M53">
        <f t="shared" si="5"/>
        <v>9226791779.9091682</v>
      </c>
      <c r="N53">
        <f t="shared" si="6"/>
        <v>2.0624100569812502</v>
      </c>
      <c r="O53">
        <f t="shared" si="7"/>
        <v>67.345979754724837</v>
      </c>
    </row>
    <row r="54" spans="1:15">
      <c r="A54" s="8">
        <v>42354</v>
      </c>
      <c r="B54">
        <v>55.540000999999997</v>
      </c>
      <c r="C54">
        <v>56.25</v>
      </c>
      <c r="D54">
        <v>54.759998000000003</v>
      </c>
      <c r="E54">
        <v>56.130001</v>
      </c>
      <c r="F54">
        <v>50.572032999999998</v>
      </c>
      <c r="G54">
        <v>37503300</v>
      </c>
      <c r="H54">
        <f t="shared" si="0"/>
        <v>55.713332999999999</v>
      </c>
      <c r="I54">
        <f t="shared" si="1"/>
        <v>2089433841.4988999</v>
      </c>
      <c r="J54">
        <f t="shared" si="2"/>
        <v>2089433841.4988999</v>
      </c>
      <c r="K54">
        <f t="shared" si="3"/>
        <v>0</v>
      </c>
      <c r="L54">
        <f t="shared" si="4"/>
        <v>21118862002.0555</v>
      </c>
      <c r="M54">
        <f t="shared" si="5"/>
        <v>8095247056.9125671</v>
      </c>
      <c r="N54">
        <f t="shared" si="6"/>
        <v>2.6087977122356025</v>
      </c>
      <c r="O54">
        <f t="shared" si="7"/>
        <v>72.289940314207485</v>
      </c>
    </row>
    <row r="55" spans="1:15">
      <c r="A55" s="8">
        <v>42355</v>
      </c>
      <c r="B55">
        <v>56.360000999999997</v>
      </c>
      <c r="C55">
        <v>56.790000999999997</v>
      </c>
      <c r="D55">
        <v>55.529998999999997</v>
      </c>
      <c r="E55">
        <v>55.700001</v>
      </c>
      <c r="F55">
        <v>50.184612000000001</v>
      </c>
      <c r="G55">
        <v>41280900</v>
      </c>
      <c r="H55">
        <f t="shared" si="0"/>
        <v>56.006666999999993</v>
      </c>
      <c r="I55">
        <f t="shared" si="1"/>
        <v>2312005619.7602997</v>
      </c>
      <c r="J55">
        <f t="shared" si="2"/>
        <v>2312005619.7602997</v>
      </c>
      <c r="K55">
        <f t="shared" si="3"/>
        <v>0</v>
      </c>
      <c r="L55">
        <f t="shared" si="4"/>
        <v>22944976819.473366</v>
      </c>
      <c r="M55">
        <f t="shared" si="5"/>
        <v>8095247056.9125671</v>
      </c>
      <c r="N55">
        <f t="shared" si="6"/>
        <v>2.8343763517236389</v>
      </c>
      <c r="O55">
        <f t="shared" si="7"/>
        <v>73.920139593222842</v>
      </c>
    </row>
    <row r="56" spans="1:15">
      <c r="A56" s="8">
        <v>42356</v>
      </c>
      <c r="B56">
        <v>55.77</v>
      </c>
      <c r="C56">
        <v>56</v>
      </c>
      <c r="D56">
        <v>54.029998999999997</v>
      </c>
      <c r="E56">
        <v>54.130001</v>
      </c>
      <c r="F56">
        <v>48.770068999999999</v>
      </c>
      <c r="G56">
        <v>84684200</v>
      </c>
      <c r="H56">
        <f t="shared" si="0"/>
        <v>54.72</v>
      </c>
      <c r="I56">
        <f t="shared" si="1"/>
        <v>4633919424</v>
      </c>
      <c r="J56">
        <f t="shared" si="2"/>
        <v>0</v>
      </c>
      <c r="K56">
        <f t="shared" si="3"/>
        <v>4633919424</v>
      </c>
      <c r="L56">
        <f t="shared" si="4"/>
        <v>19883382531.0481</v>
      </c>
      <c r="M56">
        <f t="shared" si="5"/>
        <v>12729166480.912567</v>
      </c>
      <c r="N56">
        <f t="shared" si="6"/>
        <v>1.562033347655819</v>
      </c>
      <c r="O56">
        <f t="shared" si="7"/>
        <v>60.968501798972724</v>
      </c>
    </row>
    <row r="57" spans="1:15">
      <c r="A57" s="8">
        <v>42359</v>
      </c>
      <c r="B57">
        <v>54.880001</v>
      </c>
      <c r="C57">
        <v>55.349997999999999</v>
      </c>
      <c r="D57">
        <v>54.23</v>
      </c>
      <c r="E57">
        <v>54.830002</v>
      </c>
      <c r="F57">
        <v>49.400764000000002</v>
      </c>
      <c r="G57">
        <v>37246300</v>
      </c>
      <c r="H57">
        <f t="shared" si="0"/>
        <v>54.803333333333335</v>
      </c>
      <c r="I57">
        <f t="shared" si="1"/>
        <v>2041221394.3333335</v>
      </c>
      <c r="J57">
        <f t="shared" si="2"/>
        <v>2041221394.3333335</v>
      </c>
      <c r="K57">
        <f t="shared" si="3"/>
        <v>0</v>
      </c>
      <c r="L57">
        <f t="shared" si="4"/>
        <v>19730529325.381432</v>
      </c>
      <c r="M57">
        <f t="shared" si="5"/>
        <v>12729166480.912567</v>
      </c>
      <c r="N57">
        <f t="shared" si="6"/>
        <v>1.5500252396704399</v>
      </c>
      <c r="O57">
        <f t="shared" si="7"/>
        <v>60.784701874980733</v>
      </c>
    </row>
    <row r="58" spans="1:15">
      <c r="A58" s="8">
        <v>42360</v>
      </c>
      <c r="B58">
        <v>54.990001999999997</v>
      </c>
      <c r="C58">
        <v>55.48</v>
      </c>
      <c r="D58">
        <v>54.5</v>
      </c>
      <c r="E58">
        <v>55.349997999999999</v>
      </c>
      <c r="F58">
        <v>49.869250999999998</v>
      </c>
      <c r="G58">
        <v>28322200</v>
      </c>
      <c r="H58">
        <f t="shared" si="0"/>
        <v>55.109999333333327</v>
      </c>
      <c r="I58">
        <f t="shared" si="1"/>
        <v>1560836423.1185331</v>
      </c>
      <c r="J58">
        <f t="shared" si="2"/>
        <v>1560836423.1185331</v>
      </c>
      <c r="K58">
        <f t="shared" si="3"/>
        <v>0</v>
      </c>
      <c r="L58">
        <f t="shared" si="4"/>
        <v>18671863555.258266</v>
      </c>
      <c r="M58">
        <f t="shared" si="5"/>
        <v>12729166480.912567</v>
      </c>
      <c r="N58">
        <f t="shared" si="6"/>
        <v>1.4668567327842554</v>
      </c>
      <c r="O58">
        <f t="shared" si="7"/>
        <v>59.462583022754842</v>
      </c>
    </row>
    <row r="59" spans="1:15">
      <c r="A59" s="8">
        <v>42361</v>
      </c>
      <c r="B59">
        <v>55.700001</v>
      </c>
      <c r="C59">
        <v>55.880001</v>
      </c>
      <c r="D59">
        <v>55.439999</v>
      </c>
      <c r="E59">
        <v>55.82</v>
      </c>
      <c r="F59">
        <v>50.292732000000001</v>
      </c>
      <c r="G59">
        <v>27279800</v>
      </c>
      <c r="H59">
        <f t="shared" si="0"/>
        <v>55.713333333333331</v>
      </c>
      <c r="I59">
        <f t="shared" si="1"/>
        <v>1519848590.6666665</v>
      </c>
      <c r="J59">
        <f t="shared" si="2"/>
        <v>1519848590.6666665</v>
      </c>
      <c r="K59">
        <f t="shared" si="3"/>
        <v>0</v>
      </c>
      <c r="L59">
        <f t="shared" si="4"/>
        <v>20191712145.924934</v>
      </c>
      <c r="M59">
        <f t="shared" si="5"/>
        <v>10618800994.7033</v>
      </c>
      <c r="N59">
        <f t="shared" si="6"/>
        <v>1.9015058438327115</v>
      </c>
      <c r="O59">
        <f t="shared" si="7"/>
        <v>65.535137482988446</v>
      </c>
    </row>
    <row r="60" spans="1:15">
      <c r="A60" s="8">
        <v>42362</v>
      </c>
      <c r="B60">
        <v>55.860000999999997</v>
      </c>
      <c r="C60">
        <v>55.959999000000003</v>
      </c>
      <c r="D60">
        <v>55.43</v>
      </c>
      <c r="E60">
        <v>55.669998</v>
      </c>
      <c r="F60">
        <v>50.157584999999997</v>
      </c>
      <c r="G60">
        <v>9558500</v>
      </c>
      <c r="H60">
        <f t="shared" si="0"/>
        <v>55.68666566666667</v>
      </c>
      <c r="I60">
        <f t="shared" si="1"/>
        <v>532280993.77483338</v>
      </c>
      <c r="J60">
        <f t="shared" si="2"/>
        <v>0</v>
      </c>
      <c r="K60">
        <f t="shared" si="3"/>
        <v>532280993.77483338</v>
      </c>
      <c r="L60">
        <f t="shared" si="4"/>
        <v>17755537012.567402</v>
      </c>
      <c r="M60">
        <f t="shared" si="5"/>
        <v>11151081988.478134</v>
      </c>
      <c r="N60">
        <f t="shared" si="6"/>
        <v>1.5922703313376521</v>
      </c>
      <c r="O60">
        <f t="shared" si="7"/>
        <v>61.423776374280209</v>
      </c>
    </row>
    <row r="61" spans="1:15">
      <c r="A61" s="8">
        <v>42366</v>
      </c>
      <c r="B61">
        <v>55.349997999999999</v>
      </c>
      <c r="C61">
        <v>55.950001</v>
      </c>
      <c r="D61">
        <v>54.98</v>
      </c>
      <c r="E61">
        <v>55.950001</v>
      </c>
      <c r="F61">
        <v>50.409863000000001</v>
      </c>
      <c r="G61">
        <v>22458300</v>
      </c>
      <c r="H61">
        <f t="shared" si="0"/>
        <v>55.62666733333333</v>
      </c>
      <c r="I61">
        <f t="shared" si="1"/>
        <v>1249280382.9721999</v>
      </c>
      <c r="J61">
        <f t="shared" si="2"/>
        <v>0</v>
      </c>
      <c r="K61">
        <f t="shared" si="3"/>
        <v>1249280382.9721999</v>
      </c>
      <c r="L61">
        <f t="shared" si="4"/>
        <v>16045308219.857599</v>
      </c>
      <c r="M61">
        <f t="shared" si="5"/>
        <v>12400362371.450335</v>
      </c>
      <c r="N61">
        <f t="shared" si="6"/>
        <v>1.2939386559217911</v>
      </c>
      <c r="O61">
        <f t="shared" si="7"/>
        <v>56.406855195604081</v>
      </c>
    </row>
    <row r="62" spans="1:15">
      <c r="A62" s="8">
        <v>42367</v>
      </c>
      <c r="B62">
        <v>56.290000999999997</v>
      </c>
      <c r="C62">
        <v>56.849997999999999</v>
      </c>
      <c r="D62">
        <v>56.060001</v>
      </c>
      <c r="E62">
        <v>56.549999</v>
      </c>
      <c r="F62">
        <v>50.950451000000001</v>
      </c>
      <c r="G62">
        <v>27731400</v>
      </c>
      <c r="H62">
        <f t="shared" si="0"/>
        <v>56.486665999999992</v>
      </c>
      <c r="I62">
        <f t="shared" si="1"/>
        <v>1566454329.5123997</v>
      </c>
      <c r="J62">
        <f t="shared" si="2"/>
        <v>1566454329.5123997</v>
      </c>
      <c r="K62">
        <f t="shared" si="3"/>
        <v>0</v>
      </c>
      <c r="L62">
        <f t="shared" si="4"/>
        <v>17611762549.369999</v>
      </c>
      <c r="M62">
        <f t="shared" si="5"/>
        <v>10571468813.824335</v>
      </c>
      <c r="N62">
        <f t="shared" si="6"/>
        <v>1.6659711965795192</v>
      </c>
      <c r="O62">
        <f t="shared" si="7"/>
        <v>62.49021740058501</v>
      </c>
    </row>
    <row r="63" spans="1:15">
      <c r="A63" s="8">
        <v>42368</v>
      </c>
      <c r="B63">
        <v>56.470001000000003</v>
      </c>
      <c r="C63">
        <v>56.779998999999997</v>
      </c>
      <c r="D63">
        <v>56.290000999999997</v>
      </c>
      <c r="E63">
        <v>56.310001</v>
      </c>
      <c r="F63">
        <v>50.734214999999999</v>
      </c>
      <c r="G63">
        <v>21704500</v>
      </c>
      <c r="H63">
        <f t="shared" si="0"/>
        <v>56.460000333333333</v>
      </c>
      <c r="I63">
        <f t="shared" si="1"/>
        <v>1225436077.2348332</v>
      </c>
      <c r="J63">
        <f t="shared" si="2"/>
        <v>0</v>
      </c>
      <c r="K63">
        <f t="shared" si="3"/>
        <v>1225436077.2348332</v>
      </c>
      <c r="L63">
        <f t="shared" si="4"/>
        <v>17611762549.369999</v>
      </c>
      <c r="M63">
        <f t="shared" si="5"/>
        <v>9792014143.4323673</v>
      </c>
      <c r="N63">
        <f t="shared" si="6"/>
        <v>1.7985842638087324</v>
      </c>
      <c r="O63">
        <f t="shared" si="7"/>
        <v>64.267647291096736</v>
      </c>
    </row>
    <row r="64" spans="1:15">
      <c r="A64" s="8">
        <v>42369</v>
      </c>
      <c r="B64">
        <v>56.040000999999997</v>
      </c>
      <c r="C64">
        <v>56.189999</v>
      </c>
      <c r="D64">
        <v>55.419998</v>
      </c>
      <c r="E64">
        <v>55.48</v>
      </c>
      <c r="F64">
        <v>49.986396999999997</v>
      </c>
      <c r="G64">
        <v>27334100</v>
      </c>
      <c r="H64">
        <f t="shared" si="0"/>
        <v>55.696665666666661</v>
      </c>
      <c r="I64">
        <f t="shared" si="1"/>
        <v>1522418228.9992332</v>
      </c>
      <c r="J64">
        <f t="shared" si="2"/>
        <v>0</v>
      </c>
      <c r="K64">
        <f t="shared" si="3"/>
        <v>1522418228.9992332</v>
      </c>
      <c r="L64">
        <f t="shared" si="4"/>
        <v>15854137153.220531</v>
      </c>
      <c r="M64">
        <f t="shared" si="5"/>
        <v>11314432372.431601</v>
      </c>
      <c r="N64">
        <f t="shared" si="6"/>
        <v>1.4012313328108474</v>
      </c>
      <c r="O64">
        <f t="shared" si="7"/>
        <v>58.354699676960564</v>
      </c>
    </row>
    <row r="65" spans="1:15">
      <c r="A65" s="8">
        <v>42373</v>
      </c>
      <c r="B65">
        <v>54.32</v>
      </c>
      <c r="C65">
        <v>54.799999</v>
      </c>
      <c r="D65">
        <v>53.389999000000003</v>
      </c>
      <c r="E65">
        <v>54.799999</v>
      </c>
      <c r="F65">
        <v>49.373736999999998</v>
      </c>
      <c r="G65">
        <v>53778000</v>
      </c>
      <c r="H65">
        <f t="shared" si="0"/>
        <v>54.329999000000008</v>
      </c>
      <c r="I65">
        <f t="shared" si="1"/>
        <v>2921758686.2220006</v>
      </c>
      <c r="J65">
        <f t="shared" si="2"/>
        <v>0</v>
      </c>
      <c r="K65">
        <f t="shared" si="3"/>
        <v>2921758686.2220006</v>
      </c>
      <c r="L65">
        <f t="shared" si="4"/>
        <v>15854137153.220531</v>
      </c>
      <c r="M65">
        <f t="shared" si="5"/>
        <v>12085093793.2031</v>
      </c>
      <c r="N65">
        <f t="shared" si="6"/>
        <v>1.3118753916611898</v>
      </c>
      <c r="O65">
        <f t="shared" si="7"/>
        <v>56.745073562055019</v>
      </c>
    </row>
    <row r="66" spans="1:15">
      <c r="A66" s="8">
        <v>42374</v>
      </c>
      <c r="B66">
        <v>54.93</v>
      </c>
      <c r="C66">
        <v>55.389999000000003</v>
      </c>
      <c r="D66">
        <v>54.540000999999997</v>
      </c>
      <c r="E66">
        <v>55.049999</v>
      </c>
      <c r="F66">
        <v>49.598972000000003</v>
      </c>
      <c r="G66">
        <v>34079700</v>
      </c>
      <c r="H66">
        <f t="shared" ref="H66:H129" si="8">(C66 + D66 + E66)/3</f>
        <v>54.993333000000007</v>
      </c>
      <c r="I66">
        <f t="shared" ref="I66:I129" si="9">H66*G66</f>
        <v>1874156290.6401002</v>
      </c>
      <c r="J66">
        <f t="shared" si="2"/>
        <v>1874156290.6401002</v>
      </c>
      <c r="K66">
        <f t="shared" si="3"/>
        <v>0</v>
      </c>
      <c r="L66">
        <f t="shared" si="4"/>
        <v>15171125919.373232</v>
      </c>
      <c r="M66">
        <f t="shared" si="5"/>
        <v>12085093793.2031</v>
      </c>
      <c r="N66">
        <f t="shared" si="6"/>
        <v>1.2553585581525051</v>
      </c>
      <c r="O66">
        <f t="shared" si="7"/>
        <v>55.66115213098719</v>
      </c>
    </row>
    <row r="67" spans="1:15">
      <c r="A67" s="8">
        <v>42375</v>
      </c>
      <c r="B67">
        <v>54.32</v>
      </c>
      <c r="C67">
        <v>54.400002000000001</v>
      </c>
      <c r="D67">
        <v>53.639999000000003</v>
      </c>
      <c r="E67">
        <v>54.049999</v>
      </c>
      <c r="F67">
        <v>48.698002000000002</v>
      </c>
      <c r="G67">
        <v>39518900</v>
      </c>
      <c r="H67">
        <f t="shared" si="8"/>
        <v>54.03</v>
      </c>
      <c r="I67">
        <f t="shared" si="9"/>
        <v>2135206167</v>
      </c>
      <c r="J67">
        <f t="shared" ref="J67:J130" si="10">IF(H67&gt;H66,I67,0)</f>
        <v>0</v>
      </c>
      <c r="K67">
        <f t="shared" ref="K67:K130" si="11">IF(H67&lt;H66,I67,0)</f>
        <v>2135206167</v>
      </c>
      <c r="L67">
        <f t="shared" si="4"/>
        <v>12963956489.530233</v>
      </c>
      <c r="M67">
        <f t="shared" si="5"/>
        <v>14220299960.2031</v>
      </c>
      <c r="N67">
        <f t="shared" si="6"/>
        <v>0.91165140860678984</v>
      </c>
      <c r="O67">
        <f t="shared" si="7"/>
        <v>47.689207587862512</v>
      </c>
    </row>
    <row r="68" spans="1:15">
      <c r="A68" s="8">
        <v>42376</v>
      </c>
      <c r="B68">
        <v>52.700001</v>
      </c>
      <c r="C68">
        <v>53.490001999999997</v>
      </c>
      <c r="D68">
        <v>52.07</v>
      </c>
      <c r="E68">
        <v>52.169998</v>
      </c>
      <c r="F68">
        <v>47.004154</v>
      </c>
      <c r="G68">
        <v>56564900</v>
      </c>
      <c r="H68">
        <f t="shared" si="8"/>
        <v>52.576666666666661</v>
      </c>
      <c r="I68">
        <f t="shared" si="9"/>
        <v>2973993892.333333</v>
      </c>
      <c r="J68">
        <f t="shared" si="10"/>
        <v>0</v>
      </c>
      <c r="K68">
        <f t="shared" si="11"/>
        <v>2973993892.333333</v>
      </c>
      <c r="L68">
        <f t="shared" si="4"/>
        <v>10874522648.031334</v>
      </c>
      <c r="M68">
        <f t="shared" si="5"/>
        <v>17194293852.536434</v>
      </c>
      <c r="N68">
        <f t="shared" si="6"/>
        <v>0.63244950570780012</v>
      </c>
      <c r="O68">
        <f t="shared" si="7"/>
        <v>38.742362535347247</v>
      </c>
    </row>
    <row r="69" spans="1:15">
      <c r="A69" s="8">
        <v>42377</v>
      </c>
      <c r="B69">
        <v>52.369999</v>
      </c>
      <c r="C69">
        <v>53.279998999999997</v>
      </c>
      <c r="D69">
        <v>52.150002000000001</v>
      </c>
      <c r="E69">
        <v>52.330002</v>
      </c>
      <c r="F69">
        <v>47.148311999999997</v>
      </c>
      <c r="G69">
        <v>48754000</v>
      </c>
      <c r="H69">
        <f t="shared" si="8"/>
        <v>52.586667666666671</v>
      </c>
      <c r="I69">
        <f t="shared" si="9"/>
        <v>2563810395.4206667</v>
      </c>
      <c r="J69">
        <f t="shared" si="10"/>
        <v>2563810395.4206667</v>
      </c>
      <c r="K69">
        <f t="shared" si="11"/>
        <v>0</v>
      </c>
      <c r="L69">
        <f t="shared" si="4"/>
        <v>11126327423.6917</v>
      </c>
      <c r="M69">
        <f t="shared" si="5"/>
        <v>17194293852.536434</v>
      </c>
      <c r="N69">
        <f t="shared" si="6"/>
        <v>0.64709417665619273</v>
      </c>
      <c r="O69">
        <f t="shared" si="7"/>
        <v>39.287017453359887</v>
      </c>
    </row>
    <row r="70" spans="1:15">
      <c r="A70" s="8">
        <v>42380</v>
      </c>
      <c r="B70">
        <v>52.509998000000003</v>
      </c>
      <c r="C70">
        <v>52.849997999999999</v>
      </c>
      <c r="D70">
        <v>51.459999000000003</v>
      </c>
      <c r="E70">
        <v>52.299999</v>
      </c>
      <c r="F70">
        <v>47.121291999999997</v>
      </c>
      <c r="G70">
        <v>36943800</v>
      </c>
      <c r="H70">
        <f t="shared" si="8"/>
        <v>52.20333200000001</v>
      </c>
      <c r="I70">
        <f t="shared" si="9"/>
        <v>1928589456.7416003</v>
      </c>
      <c r="J70">
        <f t="shared" si="10"/>
        <v>0</v>
      </c>
      <c r="K70">
        <f t="shared" si="11"/>
        <v>1928589456.7416003</v>
      </c>
      <c r="L70">
        <f t="shared" si="4"/>
        <v>11126327423.6917</v>
      </c>
      <c r="M70">
        <f t="shared" si="5"/>
        <v>14488963885.278034</v>
      </c>
      <c r="N70">
        <f t="shared" si="6"/>
        <v>0.76791739642590684</v>
      </c>
      <c r="O70">
        <f t="shared" si="7"/>
        <v>43.436271286110973</v>
      </c>
    </row>
    <row r="71" spans="1:15">
      <c r="A71" s="8">
        <v>42381</v>
      </c>
      <c r="B71">
        <v>52.759998000000003</v>
      </c>
      <c r="C71">
        <v>53.099997999999999</v>
      </c>
      <c r="D71">
        <v>52.060001</v>
      </c>
      <c r="E71">
        <v>52.779998999999997</v>
      </c>
      <c r="F71">
        <v>47.553744999999999</v>
      </c>
      <c r="G71">
        <v>36095500</v>
      </c>
      <c r="H71">
        <f t="shared" si="8"/>
        <v>52.646666000000003</v>
      </c>
      <c r="I71">
        <f t="shared" si="9"/>
        <v>1900307732.6030002</v>
      </c>
      <c r="J71">
        <f t="shared" si="10"/>
        <v>1900307732.6030002</v>
      </c>
      <c r="K71">
        <f t="shared" si="11"/>
        <v>0</v>
      </c>
      <c r="L71">
        <f t="shared" si="4"/>
        <v>10985413761.961369</v>
      </c>
      <c r="M71">
        <f t="shared" si="5"/>
        <v>14488963885.278034</v>
      </c>
      <c r="N71">
        <f t="shared" si="6"/>
        <v>0.75819181060444507</v>
      </c>
      <c r="O71">
        <f t="shared" si="7"/>
        <v>43.123384265098345</v>
      </c>
    </row>
    <row r="72" spans="1:15">
      <c r="A72" s="8">
        <v>42382</v>
      </c>
      <c r="B72">
        <v>53.799999</v>
      </c>
      <c r="C72">
        <v>54.07</v>
      </c>
      <c r="D72">
        <v>51.299999</v>
      </c>
      <c r="E72">
        <v>51.639999000000003</v>
      </c>
      <c r="F72">
        <v>46.526637999999998</v>
      </c>
      <c r="G72">
        <v>66883600</v>
      </c>
      <c r="H72">
        <f t="shared" si="8"/>
        <v>52.336666000000001</v>
      </c>
      <c r="I72">
        <f t="shared" si="9"/>
        <v>3500464634.0776</v>
      </c>
      <c r="J72">
        <f t="shared" si="10"/>
        <v>0</v>
      </c>
      <c r="K72">
        <f t="shared" si="11"/>
        <v>3500464634.0776</v>
      </c>
      <c r="L72">
        <f t="shared" si="4"/>
        <v>9424577338.8428326</v>
      </c>
      <c r="M72">
        <f t="shared" si="5"/>
        <v>17989428519.355633</v>
      </c>
      <c r="N72">
        <f t="shared" si="6"/>
        <v>0.52389531600197903</v>
      </c>
      <c r="O72">
        <f t="shared" si="7"/>
        <v>34.378694553405836</v>
      </c>
    </row>
    <row r="73" spans="1:15">
      <c r="A73" s="8">
        <v>42383</v>
      </c>
      <c r="B73">
        <v>52</v>
      </c>
      <c r="C73">
        <v>53.419998</v>
      </c>
      <c r="D73">
        <v>51.57</v>
      </c>
      <c r="E73">
        <v>53.110000999999997</v>
      </c>
      <c r="F73">
        <v>47.85107</v>
      </c>
      <c r="G73">
        <v>52381900</v>
      </c>
      <c r="H73">
        <f t="shared" si="8"/>
        <v>52.699999666666663</v>
      </c>
      <c r="I73">
        <f t="shared" si="9"/>
        <v>2760526112.5393667</v>
      </c>
      <c r="J73">
        <f t="shared" si="10"/>
        <v>2760526112.5393667</v>
      </c>
      <c r="K73">
        <f t="shared" si="11"/>
        <v>0</v>
      </c>
      <c r="L73">
        <f t="shared" si="4"/>
        <v>10665254860.715534</v>
      </c>
      <c r="M73">
        <f t="shared" si="5"/>
        <v>17989428519.355633</v>
      </c>
      <c r="N73">
        <f t="shared" si="6"/>
        <v>0.59286234964275319</v>
      </c>
      <c r="O73">
        <f t="shared" si="7"/>
        <v>37.219936159312212</v>
      </c>
    </row>
    <row r="74" spans="1:15">
      <c r="A74" s="8">
        <v>42384</v>
      </c>
      <c r="B74">
        <v>51.310001</v>
      </c>
      <c r="C74">
        <v>51.970001000000003</v>
      </c>
      <c r="D74">
        <v>50.34</v>
      </c>
      <c r="E74">
        <v>50.990001999999997</v>
      </c>
      <c r="F74">
        <v>45.941001999999997</v>
      </c>
      <c r="G74">
        <v>71820700</v>
      </c>
      <c r="H74">
        <f t="shared" si="8"/>
        <v>51.100000999999999</v>
      </c>
      <c r="I74">
        <f t="shared" si="9"/>
        <v>3670037841.8206997</v>
      </c>
      <c r="J74">
        <f t="shared" si="10"/>
        <v>0</v>
      </c>
      <c r="K74">
        <f t="shared" si="11"/>
        <v>3670037841.8206997</v>
      </c>
      <c r="L74">
        <f t="shared" si="4"/>
        <v>10665254860.715534</v>
      </c>
      <c r="M74">
        <f t="shared" si="5"/>
        <v>21127185367.401497</v>
      </c>
      <c r="N74">
        <f t="shared" si="6"/>
        <v>0.5048119129570211</v>
      </c>
      <c r="O74">
        <f t="shared" si="7"/>
        <v>33.546512265778361</v>
      </c>
    </row>
    <row r="75" spans="1:15">
      <c r="A75" s="8">
        <v>42388</v>
      </c>
      <c r="B75">
        <v>51.48</v>
      </c>
      <c r="C75">
        <v>51.68</v>
      </c>
      <c r="D75">
        <v>50.060001</v>
      </c>
      <c r="E75">
        <v>50.560001</v>
      </c>
      <c r="F75">
        <v>45.553573999999998</v>
      </c>
      <c r="G75">
        <v>43564500</v>
      </c>
      <c r="H75">
        <f t="shared" si="8"/>
        <v>50.766667333333338</v>
      </c>
      <c r="I75">
        <f t="shared" si="9"/>
        <v>2211624479.0430002</v>
      </c>
      <c r="J75">
        <f t="shared" si="10"/>
        <v>0</v>
      </c>
      <c r="K75">
        <f t="shared" si="11"/>
        <v>2211624479.0430002</v>
      </c>
      <c r="L75">
        <f t="shared" si="4"/>
        <v>10665254860.715534</v>
      </c>
      <c r="M75">
        <f t="shared" si="5"/>
        <v>22089529463.472298</v>
      </c>
      <c r="N75">
        <f t="shared" si="6"/>
        <v>0.48281946785475083</v>
      </c>
      <c r="O75">
        <f t="shared" si="7"/>
        <v>32.560906996538392</v>
      </c>
    </row>
    <row r="76" spans="1:15">
      <c r="A76" s="8">
        <v>42389</v>
      </c>
      <c r="B76">
        <v>49.98</v>
      </c>
      <c r="C76">
        <v>51.380001</v>
      </c>
      <c r="D76">
        <v>49.099997999999999</v>
      </c>
      <c r="E76">
        <v>50.790000999999997</v>
      </c>
      <c r="F76">
        <v>45.760795999999999</v>
      </c>
      <c r="G76">
        <v>63273000</v>
      </c>
      <c r="H76">
        <f t="shared" si="8"/>
        <v>50.423333333333325</v>
      </c>
      <c r="I76">
        <f t="shared" si="9"/>
        <v>3190435569.9999995</v>
      </c>
      <c r="J76">
        <f t="shared" si="10"/>
        <v>0</v>
      </c>
      <c r="K76">
        <f t="shared" si="11"/>
        <v>3190435569.9999995</v>
      </c>
      <c r="L76">
        <f t="shared" si="4"/>
        <v>9098800531.2031326</v>
      </c>
      <c r="M76">
        <f t="shared" si="5"/>
        <v>25279965033.472298</v>
      </c>
      <c r="N76">
        <f t="shared" si="6"/>
        <v>0.35992140492108021</v>
      </c>
      <c r="O76">
        <f t="shared" si="7"/>
        <v>26.466338688298492</v>
      </c>
    </row>
    <row r="77" spans="1:15">
      <c r="A77" s="8">
        <v>42390</v>
      </c>
      <c r="B77">
        <v>51</v>
      </c>
      <c r="C77">
        <v>51.580002</v>
      </c>
      <c r="D77">
        <v>50.299999</v>
      </c>
      <c r="E77">
        <v>50.48</v>
      </c>
      <c r="F77">
        <v>45.481502999999996</v>
      </c>
      <c r="G77">
        <v>40191200</v>
      </c>
      <c r="H77">
        <f t="shared" si="8"/>
        <v>50.786666999999994</v>
      </c>
      <c r="I77">
        <f t="shared" si="9"/>
        <v>2041177090.7303998</v>
      </c>
      <c r="J77">
        <f t="shared" si="10"/>
        <v>2041177090.7303998</v>
      </c>
      <c r="K77">
        <f t="shared" si="11"/>
        <v>0</v>
      </c>
      <c r="L77">
        <f t="shared" si="4"/>
        <v>11139977621.933533</v>
      </c>
      <c r="M77">
        <f t="shared" si="5"/>
        <v>24054528956.237465</v>
      </c>
      <c r="N77">
        <f t="shared" si="6"/>
        <v>0.46311352187359622</v>
      </c>
      <c r="O77">
        <f t="shared" si="7"/>
        <v>31.652603502738074</v>
      </c>
    </row>
    <row r="78" spans="1:15">
      <c r="A78" s="8">
        <v>42391</v>
      </c>
      <c r="B78">
        <v>51.41</v>
      </c>
      <c r="C78">
        <v>52.330002</v>
      </c>
      <c r="D78">
        <v>51.259998000000003</v>
      </c>
      <c r="E78">
        <v>52.290000999999997</v>
      </c>
      <c r="F78">
        <v>47.112278000000003</v>
      </c>
      <c r="G78">
        <v>37555800</v>
      </c>
      <c r="H78">
        <f t="shared" si="8"/>
        <v>51.960000333333333</v>
      </c>
      <c r="I78">
        <f t="shared" si="9"/>
        <v>1951399380.5186</v>
      </c>
      <c r="J78">
        <f t="shared" si="10"/>
        <v>1951399380.5186</v>
      </c>
      <c r="K78">
        <f t="shared" si="11"/>
        <v>0</v>
      </c>
      <c r="L78">
        <f t="shared" si="4"/>
        <v>13091377002.452133</v>
      </c>
      <c r="M78">
        <f t="shared" si="5"/>
        <v>22532110727.238235</v>
      </c>
      <c r="N78">
        <f t="shared" si="6"/>
        <v>0.58100979357546167</v>
      </c>
      <c r="O78">
        <f t="shared" si="7"/>
        <v>36.749284915022891</v>
      </c>
    </row>
    <row r="79" spans="1:15">
      <c r="A79" s="8">
        <v>42394</v>
      </c>
      <c r="B79">
        <v>51.939999</v>
      </c>
      <c r="C79">
        <v>52.650002000000001</v>
      </c>
      <c r="D79">
        <v>51.650002000000001</v>
      </c>
      <c r="E79">
        <v>51.790000999999997</v>
      </c>
      <c r="F79">
        <v>46.661780999999998</v>
      </c>
      <c r="G79">
        <v>34707700</v>
      </c>
      <c r="H79">
        <f t="shared" si="8"/>
        <v>52.030001666666664</v>
      </c>
      <c r="I79">
        <f t="shared" si="9"/>
        <v>1805841688.8461666</v>
      </c>
      <c r="J79">
        <f t="shared" si="10"/>
        <v>1805841688.8461666</v>
      </c>
      <c r="K79">
        <f t="shared" si="11"/>
        <v>0</v>
      </c>
      <c r="L79">
        <f t="shared" ref="L79:L142" si="12">SUM(J66:J79)</f>
        <v>14897218691.2983</v>
      </c>
      <c r="M79">
        <f t="shared" ref="M79:M142" si="13">SUM(K66:K79)</f>
        <v>19610352041.016232</v>
      </c>
      <c r="N79">
        <f t="shared" ref="N79:N142" si="14">L79/M79</f>
        <v>0.75966095152906332</v>
      </c>
      <c r="O79">
        <f t="shared" ref="O79:O142" si="15">100-(100/(1+N79))</f>
        <v>43.170870551452161</v>
      </c>
    </row>
    <row r="80" spans="1:15">
      <c r="A80" s="8">
        <v>42395</v>
      </c>
      <c r="B80">
        <v>51.790000999999997</v>
      </c>
      <c r="C80">
        <v>52.439999</v>
      </c>
      <c r="D80">
        <v>51.549999</v>
      </c>
      <c r="E80">
        <v>52.169998</v>
      </c>
      <c r="F80">
        <v>47.004154</v>
      </c>
      <c r="G80">
        <v>28900800</v>
      </c>
      <c r="H80">
        <f t="shared" si="8"/>
        <v>52.053332000000005</v>
      </c>
      <c r="I80">
        <f t="shared" si="9"/>
        <v>1504382937.4656</v>
      </c>
      <c r="J80">
        <f t="shared" si="10"/>
        <v>1504382937.4656</v>
      </c>
      <c r="K80">
        <f t="shared" si="11"/>
        <v>0</v>
      </c>
      <c r="L80">
        <f t="shared" si="12"/>
        <v>14527445338.123798</v>
      </c>
      <c r="M80">
        <f t="shared" si="13"/>
        <v>19610352041.016232</v>
      </c>
      <c r="N80">
        <f t="shared" si="14"/>
        <v>0.74080492322314118</v>
      </c>
      <c r="O80">
        <f t="shared" si="15"/>
        <v>42.555309520352431</v>
      </c>
    </row>
    <row r="81" spans="1:15">
      <c r="A81" s="8">
        <v>42396</v>
      </c>
      <c r="B81">
        <v>52.009998000000003</v>
      </c>
      <c r="C81">
        <v>52.200001</v>
      </c>
      <c r="D81">
        <v>51.02</v>
      </c>
      <c r="E81">
        <v>51.220001000000003</v>
      </c>
      <c r="F81">
        <v>46.148228000000003</v>
      </c>
      <c r="G81">
        <v>36775200</v>
      </c>
      <c r="H81">
        <f t="shared" si="8"/>
        <v>51.480000666666662</v>
      </c>
      <c r="I81">
        <f t="shared" si="9"/>
        <v>1893187320.5167999</v>
      </c>
      <c r="J81">
        <f t="shared" si="10"/>
        <v>0</v>
      </c>
      <c r="K81">
        <f t="shared" si="11"/>
        <v>1893187320.5167999</v>
      </c>
      <c r="L81">
        <f t="shared" si="12"/>
        <v>14527445338.123798</v>
      </c>
      <c r="M81">
        <f t="shared" si="13"/>
        <v>19368333194.533031</v>
      </c>
      <c r="N81">
        <f t="shared" si="14"/>
        <v>0.75006172148176187</v>
      </c>
      <c r="O81">
        <f t="shared" si="15"/>
        <v>42.859158181386384</v>
      </c>
    </row>
    <row r="82" spans="1:15">
      <c r="A82" s="8">
        <v>42397</v>
      </c>
      <c r="B82">
        <v>51.860000999999997</v>
      </c>
      <c r="C82">
        <v>52.209999000000003</v>
      </c>
      <c r="D82">
        <v>51.25</v>
      </c>
      <c r="E82">
        <v>52.060001</v>
      </c>
      <c r="F82">
        <v>46.905033000000003</v>
      </c>
      <c r="G82">
        <v>62513800</v>
      </c>
      <c r="H82">
        <f t="shared" si="8"/>
        <v>51.84</v>
      </c>
      <c r="I82">
        <f t="shared" si="9"/>
        <v>3240715392</v>
      </c>
      <c r="J82">
        <f t="shared" si="10"/>
        <v>3240715392</v>
      </c>
      <c r="K82">
        <f t="shared" si="11"/>
        <v>0</v>
      </c>
      <c r="L82">
        <f t="shared" si="12"/>
        <v>17768160730.123798</v>
      </c>
      <c r="M82">
        <f t="shared" si="13"/>
        <v>16394339302.199699</v>
      </c>
      <c r="N82">
        <f t="shared" si="14"/>
        <v>1.0837985235391443</v>
      </c>
      <c r="O82">
        <f t="shared" si="15"/>
        <v>52.010715589643958</v>
      </c>
    </row>
    <row r="83" spans="1:15">
      <c r="A83" s="8">
        <v>42398</v>
      </c>
      <c r="B83">
        <v>54.73</v>
      </c>
      <c r="C83">
        <v>55.09</v>
      </c>
      <c r="D83">
        <v>54</v>
      </c>
      <c r="E83">
        <v>55.09</v>
      </c>
      <c r="F83">
        <v>49.635024999999999</v>
      </c>
      <c r="G83">
        <v>83611700</v>
      </c>
      <c r="H83">
        <f t="shared" si="8"/>
        <v>54.726666666666667</v>
      </c>
      <c r="I83">
        <f t="shared" si="9"/>
        <v>4575789635.333333</v>
      </c>
      <c r="J83">
        <f t="shared" si="10"/>
        <v>4575789635.333333</v>
      </c>
      <c r="K83">
        <f t="shared" si="11"/>
        <v>0</v>
      </c>
      <c r="L83">
        <f t="shared" si="12"/>
        <v>19780139970.036465</v>
      </c>
      <c r="M83">
        <f t="shared" si="13"/>
        <v>16394339302.199699</v>
      </c>
      <c r="N83">
        <f t="shared" si="14"/>
        <v>1.2065225444847587</v>
      </c>
      <c r="O83">
        <f t="shared" si="15"/>
        <v>54.679819496994611</v>
      </c>
    </row>
    <row r="84" spans="1:15">
      <c r="A84" s="8">
        <v>42401</v>
      </c>
      <c r="B84">
        <v>54.880001</v>
      </c>
      <c r="C84">
        <v>55.09</v>
      </c>
      <c r="D84">
        <v>54.5</v>
      </c>
      <c r="E84">
        <v>54.709999000000003</v>
      </c>
      <c r="F84">
        <v>49.292648</v>
      </c>
      <c r="G84">
        <v>44208500</v>
      </c>
      <c r="H84">
        <f t="shared" si="8"/>
        <v>54.76666633333334</v>
      </c>
      <c r="I84">
        <f t="shared" si="9"/>
        <v>2421152168.597167</v>
      </c>
      <c r="J84">
        <f t="shared" si="10"/>
        <v>2421152168.597167</v>
      </c>
      <c r="K84">
        <f t="shared" si="11"/>
        <v>0</v>
      </c>
      <c r="L84">
        <f t="shared" si="12"/>
        <v>22201292138.633633</v>
      </c>
      <c r="M84">
        <f t="shared" si="13"/>
        <v>14465749845.458099</v>
      </c>
      <c r="N84">
        <f t="shared" si="14"/>
        <v>1.5347487946229286</v>
      </c>
      <c r="O84">
        <f t="shared" si="15"/>
        <v>60.548358791161363</v>
      </c>
    </row>
    <row r="85" spans="1:15">
      <c r="A85" s="8">
        <v>42402</v>
      </c>
      <c r="B85">
        <v>54.169998</v>
      </c>
      <c r="C85">
        <v>54.259998000000003</v>
      </c>
      <c r="D85">
        <v>52.650002000000001</v>
      </c>
      <c r="E85">
        <v>53</v>
      </c>
      <c r="F85">
        <v>47.751964999999998</v>
      </c>
      <c r="G85">
        <v>56313800</v>
      </c>
      <c r="H85">
        <f t="shared" si="8"/>
        <v>53.303333333333335</v>
      </c>
      <c r="I85">
        <f t="shared" si="9"/>
        <v>3001713252.6666665</v>
      </c>
      <c r="J85">
        <f t="shared" si="10"/>
        <v>0</v>
      </c>
      <c r="K85">
        <f t="shared" si="11"/>
        <v>3001713252.6666665</v>
      </c>
      <c r="L85">
        <f t="shared" si="12"/>
        <v>20300984406.030632</v>
      </c>
      <c r="M85">
        <f t="shared" si="13"/>
        <v>17467463098.124767</v>
      </c>
      <c r="N85">
        <f t="shared" si="14"/>
        <v>1.1622171057118225</v>
      </c>
      <c r="O85">
        <f t="shared" si="15"/>
        <v>53.751175247002287</v>
      </c>
    </row>
    <row r="86" spans="1:15">
      <c r="A86" s="8">
        <v>42403</v>
      </c>
      <c r="B86">
        <v>53.25</v>
      </c>
      <c r="C86">
        <v>53.389999000000003</v>
      </c>
      <c r="D86">
        <v>51.259998000000003</v>
      </c>
      <c r="E86">
        <v>52.16</v>
      </c>
      <c r="F86">
        <v>46.995139999999999</v>
      </c>
      <c r="G86">
        <v>57559800</v>
      </c>
      <c r="H86">
        <f t="shared" si="8"/>
        <v>52.269999000000006</v>
      </c>
      <c r="I86">
        <f t="shared" si="9"/>
        <v>3008650688.4402003</v>
      </c>
      <c r="J86">
        <f t="shared" si="10"/>
        <v>0</v>
      </c>
      <c r="K86">
        <f t="shared" si="11"/>
        <v>3008650688.4402003</v>
      </c>
      <c r="L86">
        <f t="shared" si="12"/>
        <v>20300984406.030632</v>
      </c>
      <c r="M86">
        <f t="shared" si="13"/>
        <v>16975649152.487366</v>
      </c>
      <c r="N86">
        <f t="shared" si="14"/>
        <v>1.1958885473935481</v>
      </c>
      <c r="O86">
        <f t="shared" si="15"/>
        <v>54.460348127095564</v>
      </c>
    </row>
    <row r="87" spans="1:15">
      <c r="A87" s="8">
        <v>42404</v>
      </c>
      <c r="B87">
        <v>52.099997999999999</v>
      </c>
      <c r="C87">
        <v>52.810001</v>
      </c>
      <c r="D87">
        <v>51.369999</v>
      </c>
      <c r="E87">
        <v>52</v>
      </c>
      <c r="F87">
        <v>46.850979000000002</v>
      </c>
      <c r="G87">
        <v>46987100</v>
      </c>
      <c r="H87">
        <f t="shared" si="8"/>
        <v>52.06</v>
      </c>
      <c r="I87">
        <f t="shared" si="9"/>
        <v>2446148426</v>
      </c>
      <c r="J87">
        <f t="shared" si="10"/>
        <v>0</v>
      </c>
      <c r="K87">
        <f t="shared" si="11"/>
        <v>2446148426</v>
      </c>
      <c r="L87">
        <f t="shared" si="12"/>
        <v>17540458293.491268</v>
      </c>
      <c r="M87">
        <f t="shared" si="13"/>
        <v>19421797578.487366</v>
      </c>
      <c r="N87">
        <f t="shared" si="14"/>
        <v>0.90313258711541866</v>
      </c>
      <c r="O87">
        <f t="shared" si="15"/>
        <v>47.455053485490382</v>
      </c>
    </row>
    <row r="88" spans="1:15">
      <c r="A88" s="8">
        <v>42405</v>
      </c>
      <c r="B88">
        <v>51.939999</v>
      </c>
      <c r="C88">
        <v>52</v>
      </c>
      <c r="D88">
        <v>49.560001</v>
      </c>
      <c r="E88">
        <v>50.16</v>
      </c>
      <c r="F88">
        <v>45.193179999999998</v>
      </c>
      <c r="G88">
        <v>62009000</v>
      </c>
      <c r="H88">
        <f t="shared" si="8"/>
        <v>50.573333666666663</v>
      </c>
      <c r="I88">
        <f t="shared" si="9"/>
        <v>3136001847.3363333</v>
      </c>
      <c r="J88">
        <f t="shared" si="10"/>
        <v>0</v>
      </c>
      <c r="K88">
        <f t="shared" si="11"/>
        <v>3136001847.3363333</v>
      </c>
      <c r="L88">
        <f t="shared" si="12"/>
        <v>17540458293.491268</v>
      </c>
      <c r="M88">
        <f t="shared" si="13"/>
        <v>18887761584.002998</v>
      </c>
      <c r="N88">
        <f t="shared" si="14"/>
        <v>0.92866792157876299</v>
      </c>
      <c r="O88">
        <f t="shared" si="15"/>
        <v>48.150742343377438</v>
      </c>
    </row>
    <row r="89" spans="1:15">
      <c r="A89" s="8">
        <v>42408</v>
      </c>
      <c r="B89">
        <v>49.549999</v>
      </c>
      <c r="C89">
        <v>49.57</v>
      </c>
      <c r="D89">
        <v>48.189999</v>
      </c>
      <c r="E89">
        <v>49.41</v>
      </c>
      <c r="F89">
        <v>44.517448000000002</v>
      </c>
      <c r="G89">
        <v>59290500</v>
      </c>
      <c r="H89">
        <f t="shared" si="8"/>
        <v>49.056666333333332</v>
      </c>
      <c r="I89">
        <f t="shared" si="9"/>
        <v>2908594275.2364998</v>
      </c>
      <c r="J89">
        <f t="shared" si="10"/>
        <v>0</v>
      </c>
      <c r="K89">
        <f t="shared" si="11"/>
        <v>2908594275.2364998</v>
      </c>
      <c r="L89">
        <f t="shared" si="12"/>
        <v>17540458293.491268</v>
      </c>
      <c r="M89">
        <f t="shared" si="13"/>
        <v>19584731380.196499</v>
      </c>
      <c r="N89">
        <f t="shared" si="14"/>
        <v>0.8956190387797538</v>
      </c>
      <c r="O89">
        <f t="shared" si="15"/>
        <v>47.246784319927535</v>
      </c>
    </row>
    <row r="90" spans="1:15">
      <c r="A90" s="8">
        <v>42409</v>
      </c>
      <c r="B90">
        <v>49.02</v>
      </c>
      <c r="C90">
        <v>50.240001999999997</v>
      </c>
      <c r="D90">
        <v>48.669998</v>
      </c>
      <c r="E90">
        <v>49.279998999999997</v>
      </c>
      <c r="F90">
        <v>44.400314000000002</v>
      </c>
      <c r="G90">
        <v>46740500</v>
      </c>
      <c r="H90">
        <f t="shared" si="8"/>
        <v>49.396666333333336</v>
      </c>
      <c r="I90">
        <f t="shared" si="9"/>
        <v>2308824882.7531667</v>
      </c>
      <c r="J90">
        <f t="shared" si="10"/>
        <v>2308824882.7531667</v>
      </c>
      <c r="K90">
        <f t="shared" si="11"/>
        <v>0</v>
      </c>
      <c r="L90">
        <f t="shared" si="12"/>
        <v>19849283176.244434</v>
      </c>
      <c r="M90">
        <f t="shared" si="13"/>
        <v>16394295810.196499</v>
      </c>
      <c r="N90">
        <f t="shared" si="14"/>
        <v>1.2107432613177012</v>
      </c>
      <c r="O90">
        <f t="shared" si="15"/>
        <v>54.766344084479734</v>
      </c>
    </row>
    <row r="91" spans="1:15">
      <c r="A91" s="8">
        <v>42410</v>
      </c>
      <c r="B91">
        <v>49.889999000000003</v>
      </c>
      <c r="C91">
        <v>50.389999000000003</v>
      </c>
      <c r="D91">
        <v>49.52</v>
      </c>
      <c r="E91">
        <v>49.709999000000003</v>
      </c>
      <c r="F91">
        <v>44.787734999999998</v>
      </c>
      <c r="G91">
        <v>38237000</v>
      </c>
      <c r="H91">
        <f t="shared" si="8"/>
        <v>49.87333266666667</v>
      </c>
      <c r="I91">
        <f t="shared" si="9"/>
        <v>1907006621.1753335</v>
      </c>
      <c r="J91">
        <f t="shared" si="10"/>
        <v>1907006621.1753335</v>
      </c>
      <c r="K91">
        <f t="shared" si="11"/>
        <v>0</v>
      </c>
      <c r="L91">
        <f t="shared" si="12"/>
        <v>19715112706.689369</v>
      </c>
      <c r="M91">
        <f t="shared" si="13"/>
        <v>16394295810.196499</v>
      </c>
      <c r="N91">
        <f t="shared" si="14"/>
        <v>1.2025592886049716</v>
      </c>
      <c r="O91">
        <f t="shared" si="15"/>
        <v>54.598270967163529</v>
      </c>
    </row>
    <row r="92" spans="1:15">
      <c r="A92" s="8">
        <v>42411</v>
      </c>
      <c r="B92">
        <v>48.68</v>
      </c>
      <c r="C92">
        <v>50.110000999999997</v>
      </c>
      <c r="D92">
        <v>48.509998000000003</v>
      </c>
      <c r="E92">
        <v>49.689999</v>
      </c>
      <c r="F92">
        <v>44.769717999999997</v>
      </c>
      <c r="G92">
        <v>48878600</v>
      </c>
      <c r="H92">
        <f t="shared" si="8"/>
        <v>49.436666000000002</v>
      </c>
      <c r="I92">
        <f t="shared" si="9"/>
        <v>2416395022.7476001</v>
      </c>
      <c r="J92">
        <f t="shared" si="10"/>
        <v>0</v>
      </c>
      <c r="K92">
        <f t="shared" si="11"/>
        <v>2416395022.7476001</v>
      </c>
      <c r="L92">
        <f t="shared" si="12"/>
        <v>17763713326.170769</v>
      </c>
      <c r="M92">
        <f t="shared" si="13"/>
        <v>18810690832.944099</v>
      </c>
      <c r="N92">
        <f t="shared" si="14"/>
        <v>0.9443413580037312</v>
      </c>
      <c r="O92">
        <f t="shared" si="15"/>
        <v>48.568701895704827</v>
      </c>
    </row>
    <row r="93" spans="1:15">
      <c r="A93" s="8">
        <v>42412</v>
      </c>
      <c r="B93">
        <v>50.25</v>
      </c>
      <c r="C93">
        <v>50.68</v>
      </c>
      <c r="D93">
        <v>49.75</v>
      </c>
      <c r="E93">
        <v>50.5</v>
      </c>
      <c r="F93">
        <v>45.499523000000003</v>
      </c>
      <c r="G93">
        <v>34243300</v>
      </c>
      <c r="H93">
        <f t="shared" si="8"/>
        <v>50.31</v>
      </c>
      <c r="I93">
        <f t="shared" si="9"/>
        <v>1722780423</v>
      </c>
      <c r="J93">
        <f t="shared" si="10"/>
        <v>1722780423</v>
      </c>
      <c r="K93">
        <f t="shared" si="11"/>
        <v>0</v>
      </c>
      <c r="L93">
        <f t="shared" si="12"/>
        <v>17680652060.3246</v>
      </c>
      <c r="M93">
        <f t="shared" si="13"/>
        <v>18810690832.944099</v>
      </c>
      <c r="N93">
        <f t="shared" si="14"/>
        <v>0.93992571656962187</v>
      </c>
      <c r="O93">
        <f t="shared" si="15"/>
        <v>48.451634438441083</v>
      </c>
    </row>
    <row r="94" spans="1:15">
      <c r="A94" s="8">
        <v>42416</v>
      </c>
      <c r="B94">
        <v>50.900002000000001</v>
      </c>
      <c r="C94">
        <v>51.09</v>
      </c>
      <c r="D94">
        <v>50.130001</v>
      </c>
      <c r="E94">
        <v>51.09</v>
      </c>
      <c r="F94">
        <v>46.361595000000001</v>
      </c>
      <c r="G94">
        <v>37291200</v>
      </c>
      <c r="H94">
        <f t="shared" si="8"/>
        <v>50.770000333333336</v>
      </c>
      <c r="I94">
        <f t="shared" si="9"/>
        <v>1893274236.4304001</v>
      </c>
      <c r="J94">
        <f t="shared" si="10"/>
        <v>1893274236.4304001</v>
      </c>
      <c r="K94">
        <f t="shared" si="11"/>
        <v>0</v>
      </c>
      <c r="L94">
        <f t="shared" si="12"/>
        <v>18069543359.289398</v>
      </c>
      <c r="M94">
        <f t="shared" si="13"/>
        <v>18810690832.944099</v>
      </c>
      <c r="N94">
        <f t="shared" si="14"/>
        <v>0.96059966748500847</v>
      </c>
      <c r="O94">
        <f t="shared" si="15"/>
        <v>48.995196898979046</v>
      </c>
    </row>
    <row r="95" spans="1:15">
      <c r="A95" s="8">
        <v>42417</v>
      </c>
      <c r="B95">
        <v>51.490001999999997</v>
      </c>
      <c r="C95">
        <v>52.77</v>
      </c>
      <c r="D95">
        <v>51.450001</v>
      </c>
      <c r="E95">
        <v>52.419998</v>
      </c>
      <c r="F95">
        <v>47.568500999999998</v>
      </c>
      <c r="G95">
        <v>40789000</v>
      </c>
      <c r="H95">
        <f t="shared" si="8"/>
        <v>52.213332999999999</v>
      </c>
      <c r="I95">
        <f t="shared" si="9"/>
        <v>2129729639.737</v>
      </c>
      <c r="J95">
        <f t="shared" si="10"/>
        <v>2129729639.737</v>
      </c>
      <c r="K95">
        <f t="shared" si="11"/>
        <v>0</v>
      </c>
      <c r="L95">
        <f t="shared" si="12"/>
        <v>20199272999.026398</v>
      </c>
      <c r="M95">
        <f t="shared" si="13"/>
        <v>16917503512.427299</v>
      </c>
      <c r="N95">
        <f t="shared" si="14"/>
        <v>1.1939866295395398</v>
      </c>
      <c r="O95">
        <f t="shared" si="15"/>
        <v>54.420870823179371</v>
      </c>
    </row>
    <row r="96" spans="1:15">
      <c r="A96" s="8">
        <v>42418</v>
      </c>
      <c r="B96">
        <v>52.330002</v>
      </c>
      <c r="C96">
        <v>52.950001</v>
      </c>
      <c r="D96">
        <v>52.099997999999999</v>
      </c>
      <c r="E96">
        <v>52.189999</v>
      </c>
      <c r="F96">
        <v>47.359779000000003</v>
      </c>
      <c r="G96">
        <v>27176000</v>
      </c>
      <c r="H96">
        <f t="shared" si="8"/>
        <v>52.413332666666669</v>
      </c>
      <c r="I96">
        <f t="shared" si="9"/>
        <v>1424384728.5493333</v>
      </c>
      <c r="J96">
        <f t="shared" si="10"/>
        <v>1424384728.5493333</v>
      </c>
      <c r="K96">
        <f t="shared" si="11"/>
        <v>0</v>
      </c>
      <c r="L96">
        <f t="shared" si="12"/>
        <v>18382942335.575733</v>
      </c>
      <c r="M96">
        <f t="shared" si="13"/>
        <v>16917503512.427299</v>
      </c>
      <c r="N96">
        <f t="shared" si="14"/>
        <v>1.0866226403956085</v>
      </c>
      <c r="O96">
        <f t="shared" si="15"/>
        <v>52.075666167869855</v>
      </c>
    </row>
    <row r="97" spans="1:15">
      <c r="A97" s="8">
        <v>42419</v>
      </c>
      <c r="B97">
        <v>51.970001000000003</v>
      </c>
      <c r="C97">
        <v>52.279998999999997</v>
      </c>
      <c r="D97">
        <v>51.529998999999997</v>
      </c>
      <c r="E97">
        <v>51.82</v>
      </c>
      <c r="F97">
        <v>47.024025000000002</v>
      </c>
      <c r="G97">
        <v>33559100</v>
      </c>
      <c r="H97">
        <f t="shared" si="8"/>
        <v>51.876666</v>
      </c>
      <c r="I97">
        <f t="shared" si="9"/>
        <v>1740934221.9605999</v>
      </c>
      <c r="J97">
        <f t="shared" si="10"/>
        <v>0</v>
      </c>
      <c r="K97">
        <f t="shared" si="11"/>
        <v>1740934221.9605999</v>
      </c>
      <c r="L97">
        <f t="shared" si="12"/>
        <v>13807152700.242401</v>
      </c>
      <c r="M97">
        <f t="shared" si="13"/>
        <v>18658437734.387901</v>
      </c>
      <c r="N97">
        <f t="shared" si="14"/>
        <v>0.73999511088731307</v>
      </c>
      <c r="O97">
        <f t="shared" si="15"/>
        <v>42.528574146967081</v>
      </c>
    </row>
    <row r="98" spans="1:15">
      <c r="A98" s="8">
        <v>42422</v>
      </c>
      <c r="B98">
        <v>52.279998999999997</v>
      </c>
      <c r="C98">
        <v>53</v>
      </c>
      <c r="D98">
        <v>52.279998999999997</v>
      </c>
      <c r="E98">
        <v>52.650002000000001</v>
      </c>
      <c r="F98">
        <v>47.777222000000002</v>
      </c>
      <c r="G98">
        <v>25008300</v>
      </c>
      <c r="H98">
        <f t="shared" si="8"/>
        <v>52.64333366666667</v>
      </c>
      <c r="I98">
        <f t="shared" si="9"/>
        <v>1316520281.3361001</v>
      </c>
      <c r="J98">
        <f t="shared" si="10"/>
        <v>1316520281.3361001</v>
      </c>
      <c r="K98">
        <f t="shared" si="11"/>
        <v>0</v>
      </c>
      <c r="L98">
        <f t="shared" si="12"/>
        <v>12702520812.981333</v>
      </c>
      <c r="M98">
        <f t="shared" si="13"/>
        <v>18658437734.387901</v>
      </c>
      <c r="N98">
        <f t="shared" si="14"/>
        <v>0.68079230393283752</v>
      </c>
      <c r="O98">
        <f t="shared" si="15"/>
        <v>40.504249236498239</v>
      </c>
    </row>
    <row r="99" spans="1:15">
      <c r="A99" s="8">
        <v>42423</v>
      </c>
      <c r="B99">
        <v>52.34</v>
      </c>
      <c r="C99">
        <v>52.369999</v>
      </c>
      <c r="D99">
        <v>50.98</v>
      </c>
      <c r="E99">
        <v>51.18</v>
      </c>
      <c r="F99">
        <v>46.443263999999999</v>
      </c>
      <c r="G99">
        <v>28895300</v>
      </c>
      <c r="H99">
        <f t="shared" si="8"/>
        <v>51.509999666666666</v>
      </c>
      <c r="I99">
        <f t="shared" si="9"/>
        <v>1488396893.3682332</v>
      </c>
      <c r="J99">
        <f t="shared" si="10"/>
        <v>0</v>
      </c>
      <c r="K99">
        <f t="shared" si="11"/>
        <v>1488396893.3682332</v>
      </c>
      <c r="L99">
        <f t="shared" si="12"/>
        <v>12702520812.981333</v>
      </c>
      <c r="M99">
        <f t="shared" si="13"/>
        <v>17145121375.089468</v>
      </c>
      <c r="N99">
        <f t="shared" si="14"/>
        <v>0.74088252483514705</v>
      </c>
      <c r="O99">
        <f t="shared" si="15"/>
        <v>42.557870175950264</v>
      </c>
    </row>
    <row r="100" spans="1:15">
      <c r="A100" s="8">
        <v>42424</v>
      </c>
      <c r="B100">
        <v>50.689999</v>
      </c>
      <c r="C100">
        <v>51.5</v>
      </c>
      <c r="D100">
        <v>50.200001</v>
      </c>
      <c r="E100">
        <v>51.360000999999997</v>
      </c>
      <c r="F100">
        <v>46.606605999999999</v>
      </c>
      <c r="G100">
        <v>33014500</v>
      </c>
      <c r="H100">
        <f t="shared" si="8"/>
        <v>51.020000666666668</v>
      </c>
      <c r="I100">
        <f t="shared" si="9"/>
        <v>1684399812.0096667</v>
      </c>
      <c r="J100">
        <f t="shared" si="10"/>
        <v>0</v>
      </c>
      <c r="K100">
        <f t="shared" si="11"/>
        <v>1684399812.0096667</v>
      </c>
      <c r="L100">
        <f t="shared" si="12"/>
        <v>12702520812.981333</v>
      </c>
      <c r="M100">
        <f t="shared" si="13"/>
        <v>15820870498.658932</v>
      </c>
      <c r="N100">
        <f t="shared" si="14"/>
        <v>0.80289645339414617</v>
      </c>
      <c r="O100">
        <f t="shared" si="15"/>
        <v>44.533697533355699</v>
      </c>
    </row>
    <row r="101" spans="1:15">
      <c r="A101" s="8">
        <v>42425</v>
      </c>
      <c r="B101">
        <v>51.73</v>
      </c>
      <c r="C101">
        <v>52.099997999999999</v>
      </c>
      <c r="D101">
        <v>50.610000999999997</v>
      </c>
      <c r="E101">
        <v>52.099997999999999</v>
      </c>
      <c r="F101">
        <v>47.278114000000002</v>
      </c>
      <c r="G101">
        <v>26939500</v>
      </c>
      <c r="H101">
        <f t="shared" si="8"/>
        <v>51.603332333333334</v>
      </c>
      <c r="I101">
        <f t="shared" si="9"/>
        <v>1390167971.3938334</v>
      </c>
      <c r="J101">
        <f t="shared" si="10"/>
        <v>1390167971.3938334</v>
      </c>
      <c r="K101">
        <f t="shared" si="11"/>
        <v>0</v>
      </c>
      <c r="L101">
        <f t="shared" si="12"/>
        <v>14092688784.375166</v>
      </c>
      <c r="M101">
        <f t="shared" si="13"/>
        <v>13374722072.658932</v>
      </c>
      <c r="N101">
        <f t="shared" si="14"/>
        <v>1.0536808696147733</v>
      </c>
      <c r="O101">
        <f t="shared" si="15"/>
        <v>51.306942826634071</v>
      </c>
    </row>
    <row r="102" spans="1:15">
      <c r="A102" s="8">
        <v>42426</v>
      </c>
      <c r="B102">
        <v>52.599997999999999</v>
      </c>
      <c r="C102">
        <v>52.68</v>
      </c>
      <c r="D102">
        <v>51.099997999999999</v>
      </c>
      <c r="E102">
        <v>51.299999</v>
      </c>
      <c r="F102">
        <v>46.552151000000002</v>
      </c>
      <c r="G102">
        <v>35975900</v>
      </c>
      <c r="H102">
        <f t="shared" si="8"/>
        <v>51.693332333333331</v>
      </c>
      <c r="I102">
        <f t="shared" si="9"/>
        <v>1859714154.6907666</v>
      </c>
      <c r="J102">
        <f t="shared" si="10"/>
        <v>1859714154.6907666</v>
      </c>
      <c r="K102">
        <f t="shared" si="11"/>
        <v>0</v>
      </c>
      <c r="L102">
        <f t="shared" si="12"/>
        <v>15952402939.065933</v>
      </c>
      <c r="M102">
        <f t="shared" si="13"/>
        <v>10238720225.322599</v>
      </c>
      <c r="N102">
        <f t="shared" si="14"/>
        <v>1.5580465710560334</v>
      </c>
      <c r="O102">
        <f t="shared" si="15"/>
        <v>60.907670277982007</v>
      </c>
    </row>
    <row r="103" spans="1:15">
      <c r="A103" s="8">
        <v>42429</v>
      </c>
      <c r="B103">
        <v>51.349997999999999</v>
      </c>
      <c r="C103">
        <v>51.650002000000001</v>
      </c>
      <c r="D103">
        <v>50.66</v>
      </c>
      <c r="E103">
        <v>50.880001</v>
      </c>
      <c r="F103">
        <v>46.171021000000003</v>
      </c>
      <c r="G103">
        <v>31654000</v>
      </c>
      <c r="H103">
        <f t="shared" si="8"/>
        <v>51.06333433333333</v>
      </c>
      <c r="I103">
        <f t="shared" si="9"/>
        <v>1616358784.9873333</v>
      </c>
      <c r="J103">
        <f t="shared" si="10"/>
        <v>0</v>
      </c>
      <c r="K103">
        <f t="shared" si="11"/>
        <v>1616358784.9873333</v>
      </c>
      <c r="L103">
        <f t="shared" si="12"/>
        <v>15952402939.065933</v>
      </c>
      <c r="M103">
        <f t="shared" si="13"/>
        <v>8946484735.0734329</v>
      </c>
      <c r="N103">
        <f t="shared" si="14"/>
        <v>1.7830917294841833</v>
      </c>
      <c r="O103">
        <f t="shared" si="15"/>
        <v>64.068737318071101</v>
      </c>
    </row>
    <row r="104" spans="1:15">
      <c r="A104" s="8">
        <v>42430</v>
      </c>
      <c r="B104">
        <v>50.970001000000003</v>
      </c>
      <c r="C104">
        <v>52.59</v>
      </c>
      <c r="D104">
        <v>50.919998</v>
      </c>
      <c r="E104">
        <v>52.580002</v>
      </c>
      <c r="F104">
        <v>47.713698999999998</v>
      </c>
      <c r="G104">
        <v>33024500</v>
      </c>
      <c r="H104">
        <f t="shared" si="8"/>
        <v>52.03</v>
      </c>
      <c r="I104">
        <f t="shared" si="9"/>
        <v>1718264735</v>
      </c>
      <c r="J104">
        <f t="shared" si="10"/>
        <v>1718264735</v>
      </c>
      <c r="K104">
        <f t="shared" si="11"/>
        <v>0</v>
      </c>
      <c r="L104">
        <f t="shared" si="12"/>
        <v>15361842791.312767</v>
      </c>
      <c r="M104">
        <f t="shared" si="13"/>
        <v>8946484735.0734329</v>
      </c>
      <c r="N104">
        <f t="shared" si="14"/>
        <v>1.7170814287637273</v>
      </c>
      <c r="O104">
        <f t="shared" si="15"/>
        <v>63.195803062295404</v>
      </c>
    </row>
    <row r="105" spans="1:15">
      <c r="A105" s="8">
        <v>42431</v>
      </c>
      <c r="B105">
        <v>52.41</v>
      </c>
      <c r="C105">
        <v>52.959999000000003</v>
      </c>
      <c r="D105">
        <v>52.16</v>
      </c>
      <c r="E105">
        <v>52.950001</v>
      </c>
      <c r="F105">
        <v>48.049435000000003</v>
      </c>
      <c r="G105">
        <v>29289900</v>
      </c>
      <c r="H105">
        <f t="shared" si="8"/>
        <v>52.69</v>
      </c>
      <c r="I105">
        <f t="shared" si="9"/>
        <v>1543284831</v>
      </c>
      <c r="J105">
        <f t="shared" si="10"/>
        <v>1543284831</v>
      </c>
      <c r="K105">
        <f t="shared" si="11"/>
        <v>0</v>
      </c>
      <c r="L105">
        <f t="shared" si="12"/>
        <v>14998121001.137434</v>
      </c>
      <c r="M105">
        <f t="shared" si="13"/>
        <v>8946484735.0734329</v>
      </c>
      <c r="N105">
        <f t="shared" si="14"/>
        <v>1.6764261545475414</v>
      </c>
      <c r="O105">
        <f t="shared" si="15"/>
        <v>62.636742347593248</v>
      </c>
    </row>
    <row r="106" spans="1:15">
      <c r="A106" s="8">
        <v>42432</v>
      </c>
      <c r="B106">
        <v>52.970001000000003</v>
      </c>
      <c r="C106">
        <v>52.970001000000003</v>
      </c>
      <c r="D106">
        <v>51.779998999999997</v>
      </c>
      <c r="E106">
        <v>52.349997999999999</v>
      </c>
      <c r="F106">
        <v>47.504973999999997</v>
      </c>
      <c r="G106">
        <v>24427800</v>
      </c>
      <c r="H106">
        <f t="shared" si="8"/>
        <v>52.366666000000002</v>
      </c>
      <c r="I106">
        <f t="shared" si="9"/>
        <v>1279202443.7148001</v>
      </c>
      <c r="J106">
        <f t="shared" si="10"/>
        <v>0</v>
      </c>
      <c r="K106">
        <f t="shared" si="11"/>
        <v>1279202443.7148001</v>
      </c>
      <c r="L106">
        <f t="shared" si="12"/>
        <v>14998121001.137434</v>
      </c>
      <c r="M106">
        <f t="shared" si="13"/>
        <v>7809292156.0406332</v>
      </c>
      <c r="N106">
        <f t="shared" si="14"/>
        <v>1.9205480729179927</v>
      </c>
      <c r="O106">
        <f t="shared" si="15"/>
        <v>65.759851403477327</v>
      </c>
    </row>
    <row r="107" spans="1:15">
      <c r="A107" s="8">
        <v>42433</v>
      </c>
      <c r="B107">
        <v>52.400002000000001</v>
      </c>
      <c r="C107">
        <v>52.450001</v>
      </c>
      <c r="D107">
        <v>51.709999000000003</v>
      </c>
      <c r="E107">
        <v>52.029998999999997</v>
      </c>
      <c r="F107">
        <v>47.214587999999999</v>
      </c>
      <c r="G107">
        <v>33034200</v>
      </c>
      <c r="H107">
        <f t="shared" si="8"/>
        <v>52.063333</v>
      </c>
      <c r="I107">
        <f t="shared" si="9"/>
        <v>1719870554.9886</v>
      </c>
      <c r="J107">
        <f t="shared" si="10"/>
        <v>0</v>
      </c>
      <c r="K107">
        <f t="shared" si="11"/>
        <v>1719870554.9886</v>
      </c>
      <c r="L107">
        <f t="shared" si="12"/>
        <v>13275340578.137434</v>
      </c>
      <c r="M107">
        <f t="shared" si="13"/>
        <v>9529162711.0292339</v>
      </c>
      <c r="N107">
        <f t="shared" si="14"/>
        <v>1.3931277049947213</v>
      </c>
      <c r="O107">
        <f t="shared" si="15"/>
        <v>58.213680034170771</v>
      </c>
    </row>
    <row r="108" spans="1:15">
      <c r="A108" s="8">
        <v>42436</v>
      </c>
      <c r="B108">
        <v>51.560001</v>
      </c>
      <c r="C108">
        <v>51.799999</v>
      </c>
      <c r="D108">
        <v>50.580002</v>
      </c>
      <c r="E108">
        <v>51.029998999999997</v>
      </c>
      <c r="F108">
        <v>46.307133</v>
      </c>
      <c r="G108">
        <v>38407800</v>
      </c>
      <c r="H108">
        <f t="shared" si="8"/>
        <v>51.136666666666663</v>
      </c>
      <c r="I108">
        <f t="shared" si="9"/>
        <v>1964046865.9999998</v>
      </c>
      <c r="J108">
        <f t="shared" si="10"/>
        <v>0</v>
      </c>
      <c r="K108">
        <f t="shared" si="11"/>
        <v>1964046865.9999998</v>
      </c>
      <c r="L108">
        <f t="shared" si="12"/>
        <v>11382066341.707031</v>
      </c>
      <c r="M108">
        <f t="shared" si="13"/>
        <v>11493209577.029234</v>
      </c>
      <c r="N108">
        <f t="shared" si="14"/>
        <v>0.99032966078123752</v>
      </c>
      <c r="O108">
        <f t="shared" si="15"/>
        <v>49.757066896773104</v>
      </c>
    </row>
    <row r="109" spans="1:15">
      <c r="A109" s="8">
        <v>42437</v>
      </c>
      <c r="B109">
        <v>50.799999</v>
      </c>
      <c r="C109">
        <v>52.130001</v>
      </c>
      <c r="D109">
        <v>50.599997999999999</v>
      </c>
      <c r="E109">
        <v>51.650002000000001</v>
      </c>
      <c r="F109">
        <v>46.869770000000003</v>
      </c>
      <c r="G109">
        <v>33835100</v>
      </c>
      <c r="H109">
        <f t="shared" si="8"/>
        <v>51.460000333333333</v>
      </c>
      <c r="I109">
        <f t="shared" si="9"/>
        <v>1741154257.2783666</v>
      </c>
      <c r="J109">
        <f t="shared" si="10"/>
        <v>1741154257.2783666</v>
      </c>
      <c r="K109">
        <f t="shared" si="11"/>
        <v>0</v>
      </c>
      <c r="L109">
        <f t="shared" si="12"/>
        <v>10993490959.248398</v>
      </c>
      <c r="M109">
        <f t="shared" si="13"/>
        <v>11493209577.029234</v>
      </c>
      <c r="N109">
        <f t="shared" si="14"/>
        <v>0.95652053376111812</v>
      </c>
      <c r="O109">
        <f t="shared" si="15"/>
        <v>48.888857400456232</v>
      </c>
    </row>
    <row r="110" spans="1:15">
      <c r="A110" s="8">
        <v>42438</v>
      </c>
      <c r="B110">
        <v>51.889999000000003</v>
      </c>
      <c r="C110">
        <v>52.849997999999999</v>
      </c>
      <c r="D110">
        <v>51.860000999999997</v>
      </c>
      <c r="E110">
        <v>52.84</v>
      </c>
      <c r="F110">
        <v>47.949635000000001</v>
      </c>
      <c r="G110">
        <v>28251600</v>
      </c>
      <c r="H110">
        <f t="shared" si="8"/>
        <v>52.51666633333334</v>
      </c>
      <c r="I110">
        <f t="shared" si="9"/>
        <v>1483679850.5828001</v>
      </c>
      <c r="J110">
        <f t="shared" si="10"/>
        <v>1483679850.5828001</v>
      </c>
      <c r="K110">
        <f t="shared" si="11"/>
        <v>0</v>
      </c>
      <c r="L110">
        <f t="shared" si="12"/>
        <v>11052786081.281866</v>
      </c>
      <c r="M110">
        <f t="shared" si="13"/>
        <v>11493209577.029234</v>
      </c>
      <c r="N110">
        <f t="shared" si="14"/>
        <v>0.96167967765700413</v>
      </c>
      <c r="O110">
        <f t="shared" si="15"/>
        <v>49.023277786392597</v>
      </c>
    </row>
    <row r="111" spans="1:15">
      <c r="A111" s="8">
        <v>42439</v>
      </c>
      <c r="B111">
        <v>52.93</v>
      </c>
      <c r="C111">
        <v>52.939999</v>
      </c>
      <c r="D111">
        <v>51.16</v>
      </c>
      <c r="E111">
        <v>52.049999</v>
      </c>
      <c r="F111">
        <v>47.232737999999998</v>
      </c>
      <c r="G111">
        <v>38387800</v>
      </c>
      <c r="H111">
        <f t="shared" si="8"/>
        <v>52.049999333333325</v>
      </c>
      <c r="I111">
        <f t="shared" si="9"/>
        <v>1998084964.408133</v>
      </c>
      <c r="J111">
        <f t="shared" si="10"/>
        <v>0</v>
      </c>
      <c r="K111">
        <f t="shared" si="11"/>
        <v>1998084964.408133</v>
      </c>
      <c r="L111">
        <f t="shared" si="12"/>
        <v>11052786081.281866</v>
      </c>
      <c r="M111">
        <f t="shared" si="13"/>
        <v>11750360319.476765</v>
      </c>
      <c r="N111">
        <f t="shared" si="14"/>
        <v>0.94063380022154408</v>
      </c>
      <c r="O111">
        <f t="shared" si="15"/>
        <v>48.470443012698261</v>
      </c>
    </row>
    <row r="112" spans="1:15">
      <c r="A112" s="8">
        <v>42440</v>
      </c>
      <c r="B112">
        <v>53</v>
      </c>
      <c r="C112">
        <v>53.07</v>
      </c>
      <c r="D112">
        <v>52.380001</v>
      </c>
      <c r="E112">
        <v>53.07</v>
      </c>
      <c r="F112">
        <v>48.158347999999997</v>
      </c>
      <c r="G112">
        <v>32275700</v>
      </c>
      <c r="H112">
        <f t="shared" si="8"/>
        <v>52.840000333333336</v>
      </c>
      <c r="I112">
        <f t="shared" si="9"/>
        <v>1705447998.7585669</v>
      </c>
      <c r="J112">
        <f t="shared" si="10"/>
        <v>1705447998.7585669</v>
      </c>
      <c r="K112">
        <f t="shared" si="11"/>
        <v>0</v>
      </c>
      <c r="L112">
        <f t="shared" si="12"/>
        <v>11441713798.704334</v>
      </c>
      <c r="M112">
        <f t="shared" si="13"/>
        <v>11750360319.476765</v>
      </c>
      <c r="N112">
        <f t="shared" si="14"/>
        <v>0.97373301648794253</v>
      </c>
      <c r="O112">
        <f t="shared" si="15"/>
        <v>49.334586205615672</v>
      </c>
    </row>
    <row r="113" spans="1:15">
      <c r="A113" s="8">
        <v>42443</v>
      </c>
      <c r="B113">
        <v>52.709999000000003</v>
      </c>
      <c r="C113">
        <v>53.59</v>
      </c>
      <c r="D113">
        <v>52.630001</v>
      </c>
      <c r="E113">
        <v>53.169998</v>
      </c>
      <c r="F113">
        <v>48.249084000000003</v>
      </c>
      <c r="G113">
        <v>24083600</v>
      </c>
      <c r="H113">
        <f t="shared" si="8"/>
        <v>53.129999666666663</v>
      </c>
      <c r="I113">
        <f t="shared" si="9"/>
        <v>1279561659.9721332</v>
      </c>
      <c r="J113">
        <f t="shared" si="10"/>
        <v>1279561659.9721332</v>
      </c>
      <c r="K113">
        <f t="shared" si="11"/>
        <v>0</v>
      </c>
      <c r="L113">
        <f t="shared" si="12"/>
        <v>12721275458.676468</v>
      </c>
      <c r="M113">
        <f t="shared" si="13"/>
        <v>10261963426.108532</v>
      </c>
      <c r="N113">
        <f t="shared" si="14"/>
        <v>1.2396531667917412</v>
      </c>
      <c r="O113">
        <f t="shared" si="15"/>
        <v>55.35022945394352</v>
      </c>
    </row>
    <row r="114" spans="1:15">
      <c r="A114" s="8">
        <v>42444</v>
      </c>
      <c r="B114">
        <v>52.75</v>
      </c>
      <c r="C114">
        <v>53.59</v>
      </c>
      <c r="D114">
        <v>52.740001999999997</v>
      </c>
      <c r="E114">
        <v>53.59</v>
      </c>
      <c r="F114">
        <v>48.630215</v>
      </c>
      <c r="G114">
        <v>21104800</v>
      </c>
      <c r="H114">
        <f t="shared" si="8"/>
        <v>53.306667333333337</v>
      </c>
      <c r="I114">
        <f t="shared" si="9"/>
        <v>1125026552.7365334</v>
      </c>
      <c r="J114">
        <f t="shared" si="10"/>
        <v>1125026552.7365334</v>
      </c>
      <c r="K114">
        <f t="shared" si="11"/>
        <v>0</v>
      </c>
      <c r="L114">
        <f t="shared" si="12"/>
        <v>13846302011.413002</v>
      </c>
      <c r="M114">
        <f t="shared" si="13"/>
        <v>8577563614.0988655</v>
      </c>
      <c r="N114">
        <f t="shared" si="14"/>
        <v>1.6142464963656997</v>
      </c>
      <c r="O114">
        <f t="shared" si="15"/>
        <v>61.748060047505454</v>
      </c>
    </row>
    <row r="115" spans="1:15">
      <c r="A115" s="8">
        <v>42445</v>
      </c>
      <c r="B115">
        <v>53.450001</v>
      </c>
      <c r="C115">
        <v>54.599997999999999</v>
      </c>
      <c r="D115">
        <v>53.400002000000001</v>
      </c>
      <c r="E115">
        <v>54.349997999999999</v>
      </c>
      <c r="F115">
        <v>49.319870000000002</v>
      </c>
      <c r="G115">
        <v>31691700</v>
      </c>
      <c r="H115">
        <f t="shared" si="8"/>
        <v>54.116666000000002</v>
      </c>
      <c r="I115">
        <f t="shared" si="9"/>
        <v>1715049143.8722</v>
      </c>
      <c r="J115">
        <f t="shared" si="10"/>
        <v>1715049143.8722</v>
      </c>
      <c r="K115">
        <f t="shared" si="11"/>
        <v>0</v>
      </c>
      <c r="L115">
        <f t="shared" si="12"/>
        <v>14171183183.891369</v>
      </c>
      <c r="M115">
        <f t="shared" si="13"/>
        <v>8577563614.0988655</v>
      </c>
      <c r="N115">
        <f t="shared" si="14"/>
        <v>1.6521221901051624</v>
      </c>
      <c r="O115">
        <f t="shared" si="15"/>
        <v>62.294346628111128</v>
      </c>
    </row>
    <row r="116" spans="1:15">
      <c r="A116" s="8">
        <v>42446</v>
      </c>
      <c r="B116">
        <v>54.209999000000003</v>
      </c>
      <c r="C116">
        <v>55</v>
      </c>
      <c r="D116">
        <v>54</v>
      </c>
      <c r="E116">
        <v>54.66</v>
      </c>
      <c r="F116">
        <v>49.601191999999998</v>
      </c>
      <c r="G116">
        <v>28223900</v>
      </c>
      <c r="H116">
        <f t="shared" si="8"/>
        <v>54.553333333333335</v>
      </c>
      <c r="I116">
        <f t="shared" si="9"/>
        <v>1539707824.6666667</v>
      </c>
      <c r="J116">
        <f t="shared" si="10"/>
        <v>1539707824.6666667</v>
      </c>
      <c r="K116">
        <f t="shared" si="11"/>
        <v>0</v>
      </c>
      <c r="L116">
        <f t="shared" si="12"/>
        <v>13851176853.867266</v>
      </c>
      <c r="M116">
        <f t="shared" si="13"/>
        <v>8577563614.0988655</v>
      </c>
      <c r="N116">
        <f t="shared" si="14"/>
        <v>1.6148148212040314</v>
      </c>
      <c r="O116">
        <f t="shared" si="15"/>
        <v>61.756374031124132</v>
      </c>
    </row>
    <row r="117" spans="1:15">
      <c r="A117" s="8">
        <v>42447</v>
      </c>
      <c r="B117">
        <v>54.919998</v>
      </c>
      <c r="C117">
        <v>54.970001000000003</v>
      </c>
      <c r="D117">
        <v>53.450001</v>
      </c>
      <c r="E117">
        <v>53.490001999999997</v>
      </c>
      <c r="F117">
        <v>48.539473999999998</v>
      </c>
      <c r="G117">
        <v>67625500</v>
      </c>
      <c r="H117">
        <f t="shared" si="8"/>
        <v>53.970001333333336</v>
      </c>
      <c r="I117">
        <f t="shared" si="9"/>
        <v>3649748325.1673336</v>
      </c>
      <c r="J117">
        <f t="shared" si="10"/>
        <v>0</v>
      </c>
      <c r="K117">
        <f t="shared" si="11"/>
        <v>3649748325.1673336</v>
      </c>
      <c r="L117">
        <f t="shared" si="12"/>
        <v>13851176853.867266</v>
      </c>
      <c r="M117">
        <f t="shared" si="13"/>
        <v>10610953154.278866</v>
      </c>
      <c r="N117">
        <f t="shared" si="14"/>
        <v>1.3053659414453056</v>
      </c>
      <c r="O117">
        <f t="shared" si="15"/>
        <v>56.622938596331096</v>
      </c>
    </row>
    <row r="118" spans="1:15">
      <c r="A118" s="8">
        <v>42450</v>
      </c>
      <c r="B118">
        <v>53.25</v>
      </c>
      <c r="C118">
        <v>53.93</v>
      </c>
      <c r="D118">
        <v>52.93</v>
      </c>
      <c r="E118">
        <v>53.860000999999997</v>
      </c>
      <c r="F118">
        <v>48.875225</v>
      </c>
      <c r="G118">
        <v>23925700</v>
      </c>
      <c r="H118">
        <f t="shared" si="8"/>
        <v>53.573333666666663</v>
      </c>
      <c r="I118">
        <f t="shared" si="9"/>
        <v>1281779509.3085666</v>
      </c>
      <c r="J118">
        <f t="shared" si="10"/>
        <v>0</v>
      </c>
      <c r="K118">
        <f t="shared" si="11"/>
        <v>1281779509.3085666</v>
      </c>
      <c r="L118">
        <f t="shared" si="12"/>
        <v>12132912118.867268</v>
      </c>
      <c r="M118">
        <f t="shared" si="13"/>
        <v>11892732663.587433</v>
      </c>
      <c r="N118">
        <f t="shared" si="14"/>
        <v>1.0201954808935716</v>
      </c>
      <c r="O118">
        <f t="shared" si="15"/>
        <v>50.499839770076072</v>
      </c>
    </row>
    <row r="119" spans="1:15">
      <c r="A119" s="8">
        <v>42451</v>
      </c>
      <c r="B119">
        <v>53.610000999999997</v>
      </c>
      <c r="C119">
        <v>54.25</v>
      </c>
      <c r="D119">
        <v>53.459999000000003</v>
      </c>
      <c r="E119">
        <v>54.07</v>
      </c>
      <c r="F119">
        <v>49.065787999999998</v>
      </c>
      <c r="G119">
        <v>23124100</v>
      </c>
      <c r="H119">
        <f t="shared" si="8"/>
        <v>53.926666333333337</v>
      </c>
      <c r="I119">
        <f t="shared" si="9"/>
        <v>1247005624.9586334</v>
      </c>
      <c r="J119">
        <f t="shared" si="10"/>
        <v>1247005624.9586334</v>
      </c>
      <c r="K119">
        <f t="shared" si="11"/>
        <v>0</v>
      </c>
      <c r="L119">
        <f t="shared" si="12"/>
        <v>11836632912.825899</v>
      </c>
      <c r="M119">
        <f t="shared" si="13"/>
        <v>11892732663.587433</v>
      </c>
      <c r="N119">
        <f t="shared" si="14"/>
        <v>0.9952828544668042</v>
      </c>
      <c r="O119">
        <f t="shared" si="15"/>
        <v>49.88179256082325</v>
      </c>
    </row>
    <row r="120" spans="1:15">
      <c r="A120" s="8">
        <v>42452</v>
      </c>
      <c r="B120">
        <v>54.110000999999997</v>
      </c>
      <c r="C120">
        <v>54.240001999999997</v>
      </c>
      <c r="D120">
        <v>53.740001999999997</v>
      </c>
      <c r="E120">
        <v>53.970001000000003</v>
      </c>
      <c r="F120">
        <v>48.97504</v>
      </c>
      <c r="G120">
        <v>20129000</v>
      </c>
      <c r="H120">
        <f t="shared" si="8"/>
        <v>53.983335000000004</v>
      </c>
      <c r="I120">
        <f t="shared" si="9"/>
        <v>1086630550.2150002</v>
      </c>
      <c r="J120">
        <f t="shared" si="10"/>
        <v>1086630550.2150002</v>
      </c>
      <c r="K120">
        <f t="shared" si="11"/>
        <v>0</v>
      </c>
      <c r="L120">
        <f t="shared" si="12"/>
        <v>12923263463.040899</v>
      </c>
      <c r="M120">
        <f t="shared" si="13"/>
        <v>10613530219.872633</v>
      </c>
      <c r="N120">
        <f t="shared" si="14"/>
        <v>1.2176215825761303</v>
      </c>
      <c r="O120">
        <f t="shared" si="15"/>
        <v>54.906643772904829</v>
      </c>
    </row>
    <row r="121" spans="1:15">
      <c r="A121" s="8">
        <v>42453</v>
      </c>
      <c r="B121">
        <v>53.84</v>
      </c>
      <c r="C121">
        <v>54.330002</v>
      </c>
      <c r="D121">
        <v>53.73</v>
      </c>
      <c r="E121">
        <v>54.209999000000003</v>
      </c>
      <c r="F121">
        <v>49.192829000000003</v>
      </c>
      <c r="G121">
        <v>19950000</v>
      </c>
      <c r="H121">
        <f t="shared" si="8"/>
        <v>54.090000333333336</v>
      </c>
      <c r="I121">
        <f t="shared" si="9"/>
        <v>1079095506.6500001</v>
      </c>
      <c r="J121">
        <f t="shared" si="10"/>
        <v>1079095506.6500001</v>
      </c>
      <c r="K121">
        <f t="shared" si="11"/>
        <v>0</v>
      </c>
      <c r="L121">
        <f t="shared" si="12"/>
        <v>14002358969.690899</v>
      </c>
      <c r="M121">
        <f t="shared" si="13"/>
        <v>8893659664.8840332</v>
      </c>
      <c r="N121">
        <f t="shared" si="14"/>
        <v>1.5744203733113593</v>
      </c>
      <c r="O121">
        <f t="shared" si="15"/>
        <v>61.156304915589772</v>
      </c>
    </row>
    <row r="122" spans="1:15">
      <c r="A122" s="8">
        <v>42457</v>
      </c>
      <c r="B122">
        <v>54.209999000000003</v>
      </c>
      <c r="C122">
        <v>54.290000999999997</v>
      </c>
      <c r="D122">
        <v>53.330002</v>
      </c>
      <c r="E122">
        <v>53.540000999999997</v>
      </c>
      <c r="F122">
        <v>48.584842999999999</v>
      </c>
      <c r="G122">
        <v>17025100</v>
      </c>
      <c r="H122">
        <f t="shared" si="8"/>
        <v>53.720001333333329</v>
      </c>
      <c r="I122">
        <f t="shared" si="9"/>
        <v>914588394.7001332</v>
      </c>
      <c r="J122">
        <f t="shared" si="10"/>
        <v>0</v>
      </c>
      <c r="K122">
        <f t="shared" si="11"/>
        <v>914588394.7001332</v>
      </c>
      <c r="L122">
        <f t="shared" si="12"/>
        <v>14002358969.690899</v>
      </c>
      <c r="M122">
        <f t="shared" si="13"/>
        <v>7844201193.5841665</v>
      </c>
      <c r="N122">
        <f t="shared" si="14"/>
        <v>1.7850586215386135</v>
      </c>
      <c r="O122">
        <f t="shared" si="15"/>
        <v>64.094113055058529</v>
      </c>
    </row>
    <row r="123" spans="1:15">
      <c r="A123" s="8">
        <v>42458</v>
      </c>
      <c r="B123">
        <v>53.66</v>
      </c>
      <c r="C123">
        <v>54.860000999999997</v>
      </c>
      <c r="D123">
        <v>53.450001</v>
      </c>
      <c r="E123">
        <v>54.709999000000003</v>
      </c>
      <c r="F123">
        <v>49.646568000000002</v>
      </c>
      <c r="G123">
        <v>23924300</v>
      </c>
      <c r="H123">
        <f t="shared" si="8"/>
        <v>54.340000333333336</v>
      </c>
      <c r="I123">
        <f t="shared" si="9"/>
        <v>1300046469.9747667</v>
      </c>
      <c r="J123">
        <f t="shared" si="10"/>
        <v>1300046469.9747667</v>
      </c>
      <c r="K123">
        <f t="shared" si="11"/>
        <v>0</v>
      </c>
      <c r="L123">
        <f t="shared" si="12"/>
        <v>13561251182.387299</v>
      </c>
      <c r="M123">
        <f t="shared" si="13"/>
        <v>7844201193.5841665</v>
      </c>
      <c r="N123">
        <f t="shared" si="14"/>
        <v>1.7288250068699349</v>
      </c>
      <c r="O123">
        <f t="shared" si="15"/>
        <v>63.354190998599883</v>
      </c>
    </row>
    <row r="124" spans="1:15">
      <c r="A124" s="8">
        <v>42459</v>
      </c>
      <c r="B124">
        <v>54.93</v>
      </c>
      <c r="C124">
        <v>55.639999000000003</v>
      </c>
      <c r="D124">
        <v>54.900002000000001</v>
      </c>
      <c r="E124">
        <v>55.049999</v>
      </c>
      <c r="F124">
        <v>49.955089999999998</v>
      </c>
      <c r="G124">
        <v>23008300</v>
      </c>
      <c r="H124">
        <f t="shared" si="8"/>
        <v>55.196666666666665</v>
      </c>
      <c r="I124">
        <f t="shared" si="9"/>
        <v>1269981465.6666667</v>
      </c>
      <c r="J124">
        <f t="shared" si="10"/>
        <v>1269981465.6666667</v>
      </c>
      <c r="K124">
        <f t="shared" si="11"/>
        <v>0</v>
      </c>
      <c r="L124">
        <f t="shared" si="12"/>
        <v>13347552797.471167</v>
      </c>
      <c r="M124">
        <f t="shared" si="13"/>
        <v>7844201193.5841665</v>
      </c>
      <c r="N124">
        <f t="shared" si="14"/>
        <v>1.7015821583449739</v>
      </c>
      <c r="O124">
        <f t="shared" si="15"/>
        <v>62.98465338501444</v>
      </c>
    </row>
    <row r="125" spans="1:15">
      <c r="A125" s="8">
        <v>42460</v>
      </c>
      <c r="B125">
        <v>54.950001</v>
      </c>
      <c r="C125">
        <v>55.59</v>
      </c>
      <c r="D125">
        <v>54.860000999999997</v>
      </c>
      <c r="E125">
        <v>55.23</v>
      </c>
      <c r="F125">
        <v>50.118434999999998</v>
      </c>
      <c r="G125">
        <v>26360500</v>
      </c>
      <c r="H125">
        <f t="shared" si="8"/>
        <v>55.226666999999999</v>
      </c>
      <c r="I125">
        <f t="shared" si="9"/>
        <v>1455802555.4535</v>
      </c>
      <c r="J125">
        <f t="shared" si="10"/>
        <v>1455802555.4535</v>
      </c>
      <c r="K125">
        <f t="shared" si="11"/>
        <v>0</v>
      </c>
      <c r="L125">
        <f t="shared" si="12"/>
        <v>14803355352.924667</v>
      </c>
      <c r="M125">
        <f t="shared" si="13"/>
        <v>5846116229.176034</v>
      </c>
      <c r="N125">
        <f t="shared" si="14"/>
        <v>2.5321691825157382</v>
      </c>
      <c r="O125">
        <f t="shared" si="15"/>
        <v>71.688785323477518</v>
      </c>
    </row>
    <row r="126" spans="1:15">
      <c r="A126" s="8">
        <v>42461</v>
      </c>
      <c r="B126">
        <v>55.049999</v>
      </c>
      <c r="C126">
        <v>55.610000999999997</v>
      </c>
      <c r="D126">
        <v>54.57</v>
      </c>
      <c r="E126">
        <v>55.57</v>
      </c>
      <c r="F126">
        <v>50.426960000000001</v>
      </c>
      <c r="G126">
        <v>24399200</v>
      </c>
      <c r="H126">
        <f t="shared" si="8"/>
        <v>55.250000333333332</v>
      </c>
      <c r="I126">
        <f t="shared" si="9"/>
        <v>1348055808.1330667</v>
      </c>
      <c r="J126">
        <f t="shared" si="10"/>
        <v>1348055808.1330667</v>
      </c>
      <c r="K126">
        <f t="shared" si="11"/>
        <v>0</v>
      </c>
      <c r="L126">
        <f t="shared" si="12"/>
        <v>14445963162.299166</v>
      </c>
      <c r="M126">
        <f t="shared" si="13"/>
        <v>5846116229.176034</v>
      </c>
      <c r="N126">
        <f t="shared" si="14"/>
        <v>2.471035914442504</v>
      </c>
      <c r="O126">
        <f t="shared" si="15"/>
        <v>71.190156925800238</v>
      </c>
    </row>
    <row r="127" spans="1:15">
      <c r="A127" s="8">
        <v>42464</v>
      </c>
      <c r="B127">
        <v>55.43</v>
      </c>
      <c r="C127">
        <v>55.66</v>
      </c>
      <c r="D127">
        <v>55</v>
      </c>
      <c r="E127">
        <v>55.43</v>
      </c>
      <c r="F127">
        <v>50.299923</v>
      </c>
      <c r="G127">
        <v>18928800</v>
      </c>
      <c r="H127">
        <f t="shared" si="8"/>
        <v>55.363333333333337</v>
      </c>
      <c r="I127">
        <f t="shared" si="9"/>
        <v>1047961464.0000001</v>
      </c>
      <c r="J127">
        <f t="shared" si="10"/>
        <v>1047961464.0000001</v>
      </c>
      <c r="K127">
        <f t="shared" si="11"/>
        <v>0</v>
      </c>
      <c r="L127">
        <f t="shared" si="12"/>
        <v>14214362966.327032</v>
      </c>
      <c r="M127">
        <f t="shared" si="13"/>
        <v>5846116229.176034</v>
      </c>
      <c r="N127">
        <f t="shared" si="14"/>
        <v>2.4314198365382893</v>
      </c>
      <c r="O127">
        <f t="shared" si="15"/>
        <v>70.857544467399606</v>
      </c>
    </row>
    <row r="128" spans="1:15">
      <c r="A128" s="8">
        <v>42465</v>
      </c>
      <c r="B128">
        <v>55.189999</v>
      </c>
      <c r="C128">
        <v>55.299999</v>
      </c>
      <c r="D128">
        <v>54.459999000000003</v>
      </c>
      <c r="E128">
        <v>54.560001</v>
      </c>
      <c r="F128">
        <v>49.510447999999997</v>
      </c>
      <c r="G128">
        <v>19272300</v>
      </c>
      <c r="H128">
        <f t="shared" si="8"/>
        <v>54.773333000000001</v>
      </c>
      <c r="I128">
        <f t="shared" si="9"/>
        <v>1055608105.5759</v>
      </c>
      <c r="J128">
        <f t="shared" si="10"/>
        <v>0</v>
      </c>
      <c r="K128">
        <f t="shared" si="11"/>
        <v>1055608105.5759</v>
      </c>
      <c r="L128">
        <f t="shared" si="12"/>
        <v>13089336413.590502</v>
      </c>
      <c r="M128">
        <f t="shared" si="13"/>
        <v>6901724334.7519341</v>
      </c>
      <c r="N128">
        <f t="shared" si="14"/>
        <v>1.8965313273499451</v>
      </c>
      <c r="O128">
        <f t="shared" si="15"/>
        <v>65.475947366503846</v>
      </c>
    </row>
    <row r="129" spans="1:15">
      <c r="A129" s="8">
        <v>42466</v>
      </c>
      <c r="B129">
        <v>54.360000999999997</v>
      </c>
      <c r="C129">
        <v>55.200001</v>
      </c>
      <c r="D129">
        <v>54.209999000000003</v>
      </c>
      <c r="E129">
        <v>55.119999</v>
      </c>
      <c r="F129">
        <v>50.018611999999997</v>
      </c>
      <c r="G129">
        <v>21188700</v>
      </c>
      <c r="H129">
        <f t="shared" si="8"/>
        <v>54.843333000000001</v>
      </c>
      <c r="I129">
        <f t="shared" si="9"/>
        <v>1162058929.9370999</v>
      </c>
      <c r="J129">
        <f t="shared" si="10"/>
        <v>1162058929.9370999</v>
      </c>
      <c r="K129">
        <f t="shared" si="11"/>
        <v>0</v>
      </c>
      <c r="L129">
        <f t="shared" si="12"/>
        <v>12536346199.655401</v>
      </c>
      <c r="M129">
        <f t="shared" si="13"/>
        <v>6901724334.7519341</v>
      </c>
      <c r="N129">
        <f t="shared" si="14"/>
        <v>1.8164078412305915</v>
      </c>
      <c r="O129">
        <f t="shared" si="15"/>
        <v>64.493778729040059</v>
      </c>
    </row>
    <row r="130" spans="1:15">
      <c r="A130" s="8">
        <v>42467</v>
      </c>
      <c r="B130">
        <v>54.869999</v>
      </c>
      <c r="C130">
        <v>54.91</v>
      </c>
      <c r="D130">
        <v>54.23</v>
      </c>
      <c r="E130">
        <v>54.459999000000003</v>
      </c>
      <c r="F130">
        <v>49.419696999999999</v>
      </c>
      <c r="G130">
        <v>19225100</v>
      </c>
      <c r="H130">
        <f t="shared" ref="H130:H193" si="16">(C130 + D130 + E130)/3</f>
        <v>54.533332999999999</v>
      </c>
      <c r="I130">
        <f t="shared" ref="I130:I193" si="17">H130*G130</f>
        <v>1048408780.2582999</v>
      </c>
      <c r="J130">
        <f t="shared" si="10"/>
        <v>0</v>
      </c>
      <c r="K130">
        <f t="shared" si="11"/>
        <v>1048408780.2582999</v>
      </c>
      <c r="L130">
        <f t="shared" si="12"/>
        <v>10996638374.988733</v>
      </c>
      <c r="M130">
        <f t="shared" si="13"/>
        <v>7950133115.0102339</v>
      </c>
      <c r="N130">
        <f t="shared" si="14"/>
        <v>1.3832017924613804</v>
      </c>
      <c r="O130">
        <f t="shared" si="15"/>
        <v>58.039642166969173</v>
      </c>
    </row>
    <row r="131" spans="1:15">
      <c r="A131" s="8">
        <v>42468</v>
      </c>
      <c r="B131">
        <v>54.669998</v>
      </c>
      <c r="C131">
        <v>55.279998999999997</v>
      </c>
      <c r="D131">
        <v>54.32</v>
      </c>
      <c r="E131">
        <v>54.419998</v>
      </c>
      <c r="F131">
        <v>49.383400000000002</v>
      </c>
      <c r="G131">
        <v>22167200</v>
      </c>
      <c r="H131">
        <f t="shared" si="16"/>
        <v>54.673332333333327</v>
      </c>
      <c r="I131">
        <f t="shared" si="17"/>
        <v>1211954692.4994664</v>
      </c>
      <c r="J131">
        <f t="shared" ref="J131:J194" si="18">IF(H131&gt;H130,I131,0)</f>
        <v>1211954692.4994664</v>
      </c>
      <c r="K131">
        <f t="shared" ref="K131:K194" si="19">IF(H131&lt;H130,I131,0)</f>
        <v>0</v>
      </c>
      <c r="L131">
        <f t="shared" si="12"/>
        <v>12208593067.488199</v>
      </c>
      <c r="M131">
        <f t="shared" si="13"/>
        <v>4300384789.8429003</v>
      </c>
      <c r="N131">
        <f t="shared" si="14"/>
        <v>2.8389536434794707</v>
      </c>
      <c r="O131">
        <f t="shared" si="15"/>
        <v>73.951235339907868</v>
      </c>
    </row>
    <row r="132" spans="1:15">
      <c r="A132" s="8">
        <v>42471</v>
      </c>
      <c r="B132">
        <v>54.490001999999997</v>
      </c>
      <c r="C132">
        <v>55.150002000000001</v>
      </c>
      <c r="D132">
        <v>54.299999</v>
      </c>
      <c r="E132">
        <v>54.310001</v>
      </c>
      <c r="F132">
        <v>49.283585000000002</v>
      </c>
      <c r="G132">
        <v>21414200</v>
      </c>
      <c r="H132">
        <f t="shared" si="16"/>
        <v>54.586667333333331</v>
      </c>
      <c r="I132">
        <f t="shared" si="17"/>
        <v>1168929811.6094666</v>
      </c>
      <c r="J132">
        <f t="shared" si="18"/>
        <v>0</v>
      </c>
      <c r="K132">
        <f t="shared" si="19"/>
        <v>1168929811.6094666</v>
      </c>
      <c r="L132">
        <f t="shared" si="12"/>
        <v>12208593067.488199</v>
      </c>
      <c r="M132">
        <f t="shared" si="13"/>
        <v>4187535092.1437998</v>
      </c>
      <c r="N132">
        <f t="shared" si="14"/>
        <v>2.9154604794578654</v>
      </c>
      <c r="O132">
        <f t="shared" si="15"/>
        <v>74.460219806931619</v>
      </c>
    </row>
    <row r="133" spans="1:15">
      <c r="A133" s="8">
        <v>42472</v>
      </c>
      <c r="B133">
        <v>54.369999</v>
      </c>
      <c r="C133">
        <v>54.779998999999997</v>
      </c>
      <c r="D133">
        <v>53.759998000000003</v>
      </c>
      <c r="E133">
        <v>54.650002000000001</v>
      </c>
      <c r="F133">
        <v>49.592109999999998</v>
      </c>
      <c r="G133">
        <v>24944300</v>
      </c>
      <c r="H133">
        <f t="shared" si="16"/>
        <v>54.396666333333336</v>
      </c>
      <c r="I133">
        <f t="shared" si="17"/>
        <v>1356886764.0185668</v>
      </c>
      <c r="J133">
        <f t="shared" si="18"/>
        <v>0</v>
      </c>
      <c r="K133">
        <f t="shared" si="19"/>
        <v>1356886764.0185668</v>
      </c>
      <c r="L133">
        <f t="shared" si="12"/>
        <v>10961587442.529566</v>
      </c>
      <c r="M133">
        <f t="shared" si="13"/>
        <v>5544421856.1623669</v>
      </c>
      <c r="N133">
        <f t="shared" si="14"/>
        <v>1.9770478738637594</v>
      </c>
      <c r="O133">
        <f t="shared" si="15"/>
        <v>66.409676888999741</v>
      </c>
    </row>
    <row r="134" spans="1:15">
      <c r="A134" s="8">
        <v>42473</v>
      </c>
      <c r="B134">
        <v>55.119999</v>
      </c>
      <c r="C134">
        <v>55.439999</v>
      </c>
      <c r="D134">
        <v>54.889999000000003</v>
      </c>
      <c r="E134">
        <v>55.349997999999999</v>
      </c>
      <c r="F134">
        <v>50.227325</v>
      </c>
      <c r="G134">
        <v>20818000</v>
      </c>
      <c r="H134">
        <f t="shared" si="16"/>
        <v>55.226665333333337</v>
      </c>
      <c r="I134">
        <f t="shared" si="17"/>
        <v>1149708718.9093335</v>
      </c>
      <c r="J134">
        <f t="shared" si="18"/>
        <v>1149708718.9093335</v>
      </c>
      <c r="K134">
        <f t="shared" si="19"/>
        <v>0</v>
      </c>
      <c r="L134">
        <f t="shared" si="12"/>
        <v>11024665611.2239</v>
      </c>
      <c r="M134">
        <f t="shared" si="13"/>
        <v>5544421856.1623669</v>
      </c>
      <c r="N134">
        <f t="shared" si="14"/>
        <v>1.9884247442265774</v>
      </c>
      <c r="O134">
        <f t="shared" si="15"/>
        <v>66.537554545018125</v>
      </c>
    </row>
    <row r="135" spans="1:15">
      <c r="A135" s="8">
        <v>42474</v>
      </c>
      <c r="B135">
        <v>55.220001000000003</v>
      </c>
      <c r="C135">
        <v>55.580002</v>
      </c>
      <c r="D135">
        <v>55.07</v>
      </c>
      <c r="E135">
        <v>55.360000999999997</v>
      </c>
      <c r="F135">
        <v>50.236396999999997</v>
      </c>
      <c r="G135">
        <v>20877100</v>
      </c>
      <c r="H135">
        <f t="shared" si="16"/>
        <v>55.336667666666663</v>
      </c>
      <c r="I135">
        <f t="shared" si="17"/>
        <v>1155269144.5437665</v>
      </c>
      <c r="J135">
        <f t="shared" si="18"/>
        <v>1155269144.5437665</v>
      </c>
      <c r="K135">
        <f t="shared" si="19"/>
        <v>0</v>
      </c>
      <c r="L135">
        <f t="shared" si="12"/>
        <v>11100839249.117666</v>
      </c>
      <c r="M135">
        <f t="shared" si="13"/>
        <v>5544421856.1623669</v>
      </c>
      <c r="N135">
        <f t="shared" si="14"/>
        <v>2.0021635324843832</v>
      </c>
      <c r="O135">
        <f t="shared" si="15"/>
        <v>66.690688592420912</v>
      </c>
    </row>
    <row r="136" spans="1:15">
      <c r="A136" s="8">
        <v>42475</v>
      </c>
      <c r="B136">
        <v>55.299999</v>
      </c>
      <c r="C136">
        <v>55.919998</v>
      </c>
      <c r="D136">
        <v>55.110000999999997</v>
      </c>
      <c r="E136">
        <v>55.650002000000001</v>
      </c>
      <c r="F136">
        <v>50.499572999999998</v>
      </c>
      <c r="G136">
        <v>28793800</v>
      </c>
      <c r="H136">
        <f t="shared" si="16"/>
        <v>55.560000333333335</v>
      </c>
      <c r="I136">
        <f t="shared" si="17"/>
        <v>1599783537.5979333</v>
      </c>
      <c r="J136">
        <f t="shared" si="18"/>
        <v>1599783537.5979333</v>
      </c>
      <c r="K136">
        <f t="shared" si="19"/>
        <v>0</v>
      </c>
      <c r="L136">
        <f t="shared" si="12"/>
        <v>12700622786.715599</v>
      </c>
      <c r="M136">
        <f t="shared" si="13"/>
        <v>4629833461.4622335</v>
      </c>
      <c r="N136">
        <f t="shared" si="14"/>
        <v>2.7432137446050553</v>
      </c>
      <c r="O136">
        <f t="shared" si="15"/>
        <v>73.284988028234821</v>
      </c>
    </row>
    <row r="137" spans="1:15">
      <c r="A137" s="8">
        <v>42478</v>
      </c>
      <c r="B137">
        <v>55.490001999999997</v>
      </c>
      <c r="C137">
        <v>56.59</v>
      </c>
      <c r="D137">
        <v>55.209999000000003</v>
      </c>
      <c r="E137">
        <v>56.459999000000003</v>
      </c>
      <c r="F137">
        <v>51.234596000000003</v>
      </c>
      <c r="G137">
        <v>23786000</v>
      </c>
      <c r="H137">
        <f t="shared" si="16"/>
        <v>56.086666000000008</v>
      </c>
      <c r="I137">
        <f t="shared" si="17"/>
        <v>1334077437.4760003</v>
      </c>
      <c r="J137">
        <f t="shared" si="18"/>
        <v>1334077437.4760003</v>
      </c>
      <c r="K137">
        <f t="shared" si="19"/>
        <v>0</v>
      </c>
      <c r="L137">
        <f t="shared" si="12"/>
        <v>12734653754.216833</v>
      </c>
      <c r="M137">
        <f t="shared" si="13"/>
        <v>4629833461.4622335</v>
      </c>
      <c r="N137">
        <f t="shared" si="14"/>
        <v>2.7505641099658185</v>
      </c>
      <c r="O137">
        <f t="shared" si="15"/>
        <v>73.337344178630403</v>
      </c>
    </row>
    <row r="138" spans="1:15">
      <c r="A138" s="8">
        <v>42479</v>
      </c>
      <c r="B138">
        <v>56.630001</v>
      </c>
      <c r="C138">
        <v>56.77</v>
      </c>
      <c r="D138">
        <v>55.68</v>
      </c>
      <c r="E138">
        <v>56.389999000000003</v>
      </c>
      <c r="F138">
        <v>51.171066000000003</v>
      </c>
      <c r="G138">
        <v>29596800</v>
      </c>
      <c r="H138">
        <f t="shared" si="16"/>
        <v>56.279999666666669</v>
      </c>
      <c r="I138">
        <f t="shared" si="17"/>
        <v>1665707894.1344001</v>
      </c>
      <c r="J138">
        <f t="shared" si="18"/>
        <v>1665707894.1344001</v>
      </c>
      <c r="K138">
        <f t="shared" si="19"/>
        <v>0</v>
      </c>
      <c r="L138">
        <f t="shared" si="12"/>
        <v>13130380182.684565</v>
      </c>
      <c r="M138">
        <f t="shared" si="13"/>
        <v>4629833461.4622335</v>
      </c>
      <c r="N138">
        <f t="shared" si="14"/>
        <v>2.8360372553309112</v>
      </c>
      <c r="O138">
        <f t="shared" si="15"/>
        <v>73.931431489349904</v>
      </c>
    </row>
    <row r="139" spans="1:15">
      <c r="A139" s="8">
        <v>42480</v>
      </c>
      <c r="B139">
        <v>56.290000999999997</v>
      </c>
      <c r="C139">
        <v>56.5</v>
      </c>
      <c r="D139">
        <v>55.490001999999997</v>
      </c>
      <c r="E139">
        <v>55.59</v>
      </c>
      <c r="F139">
        <v>50.445113999999997</v>
      </c>
      <c r="G139">
        <v>36195700</v>
      </c>
      <c r="H139">
        <f t="shared" si="16"/>
        <v>55.860000666666672</v>
      </c>
      <c r="I139">
        <f t="shared" si="17"/>
        <v>2021891826.1304669</v>
      </c>
      <c r="J139">
        <f t="shared" si="18"/>
        <v>0</v>
      </c>
      <c r="K139">
        <f t="shared" si="19"/>
        <v>2021891826.1304669</v>
      </c>
      <c r="L139">
        <f t="shared" si="12"/>
        <v>11674577627.231066</v>
      </c>
      <c r="M139">
        <f t="shared" si="13"/>
        <v>6651725287.592701</v>
      </c>
      <c r="N139">
        <f t="shared" si="14"/>
        <v>1.7551202315897452</v>
      </c>
      <c r="O139">
        <f t="shared" si="15"/>
        <v>63.703943351213205</v>
      </c>
    </row>
    <row r="140" spans="1:15">
      <c r="A140" s="8">
        <v>42481</v>
      </c>
      <c r="B140">
        <v>55.799999</v>
      </c>
      <c r="C140">
        <v>56.23</v>
      </c>
      <c r="D140">
        <v>55.419998</v>
      </c>
      <c r="E140">
        <v>55.779998999999997</v>
      </c>
      <c r="F140">
        <v>50.617522999999998</v>
      </c>
      <c r="G140">
        <v>38909100</v>
      </c>
      <c r="H140">
        <f t="shared" si="16"/>
        <v>55.809998999999998</v>
      </c>
      <c r="I140">
        <f t="shared" si="17"/>
        <v>2171516832.0908999</v>
      </c>
      <c r="J140">
        <f t="shared" si="18"/>
        <v>0</v>
      </c>
      <c r="K140">
        <f t="shared" si="19"/>
        <v>2171516832.0908999</v>
      </c>
      <c r="L140">
        <f t="shared" si="12"/>
        <v>10326521819.097998</v>
      </c>
      <c r="M140">
        <f t="shared" si="13"/>
        <v>8823242119.6836014</v>
      </c>
      <c r="N140">
        <f t="shared" si="14"/>
        <v>1.1703772467107934</v>
      </c>
      <c r="O140">
        <f t="shared" si="15"/>
        <v>53.925060654063714</v>
      </c>
    </row>
    <row r="141" spans="1:15">
      <c r="A141" s="8">
        <v>42482</v>
      </c>
      <c r="B141">
        <v>51.91</v>
      </c>
      <c r="C141">
        <v>52.43</v>
      </c>
      <c r="D141">
        <v>50.77</v>
      </c>
      <c r="E141">
        <v>51.779998999999997</v>
      </c>
      <c r="F141">
        <v>46.987732000000001</v>
      </c>
      <c r="G141">
        <v>126834100</v>
      </c>
      <c r="H141">
        <f t="shared" si="16"/>
        <v>51.659999666666664</v>
      </c>
      <c r="I141">
        <f t="shared" si="17"/>
        <v>6552249563.7219667</v>
      </c>
      <c r="J141">
        <f t="shared" si="18"/>
        <v>0</v>
      </c>
      <c r="K141">
        <f t="shared" si="19"/>
        <v>6552249563.7219667</v>
      </c>
      <c r="L141">
        <f t="shared" si="12"/>
        <v>9278560355.0979977</v>
      </c>
      <c r="M141">
        <f t="shared" si="13"/>
        <v>15375491683.405567</v>
      </c>
      <c r="N141">
        <f t="shared" si="14"/>
        <v>0.60346430190015621</v>
      </c>
      <c r="O141">
        <f t="shared" si="15"/>
        <v>37.635031923381881</v>
      </c>
    </row>
    <row r="142" spans="1:15">
      <c r="A142" s="8">
        <v>42485</v>
      </c>
      <c r="B142">
        <v>51.779998999999997</v>
      </c>
      <c r="C142">
        <v>52.130001</v>
      </c>
      <c r="D142">
        <v>51.630001</v>
      </c>
      <c r="E142">
        <v>52.110000999999997</v>
      </c>
      <c r="F142">
        <v>47.287201000000003</v>
      </c>
      <c r="G142">
        <v>33226900</v>
      </c>
      <c r="H142">
        <f t="shared" si="16"/>
        <v>51.956667666666668</v>
      </c>
      <c r="I142">
        <f t="shared" si="17"/>
        <v>1726359000.8935666</v>
      </c>
      <c r="J142">
        <f t="shared" si="18"/>
        <v>1726359000.8935666</v>
      </c>
      <c r="K142">
        <f t="shared" si="19"/>
        <v>0</v>
      </c>
      <c r="L142">
        <f t="shared" si="12"/>
        <v>11004919355.991564</v>
      </c>
      <c r="M142">
        <f t="shared" si="13"/>
        <v>14319883577.829666</v>
      </c>
      <c r="N142">
        <f t="shared" si="14"/>
        <v>0.76850620301338224</v>
      </c>
      <c r="O142">
        <f t="shared" si="15"/>
        <v>43.455103618178654</v>
      </c>
    </row>
    <row r="143" spans="1:15">
      <c r="A143" s="8">
        <v>42486</v>
      </c>
      <c r="B143">
        <v>52.259998000000003</v>
      </c>
      <c r="C143">
        <v>52.349997999999999</v>
      </c>
      <c r="D143">
        <v>51.09</v>
      </c>
      <c r="E143">
        <v>51.439999</v>
      </c>
      <c r="F143">
        <v>46.679198999999997</v>
      </c>
      <c r="G143">
        <v>33532600</v>
      </c>
      <c r="H143">
        <f t="shared" si="16"/>
        <v>51.626665666666668</v>
      </c>
      <c r="I143">
        <f t="shared" si="17"/>
        <v>1731176329.1340666</v>
      </c>
      <c r="J143">
        <f t="shared" si="18"/>
        <v>0</v>
      </c>
      <c r="K143">
        <f t="shared" si="19"/>
        <v>1731176329.1340666</v>
      </c>
      <c r="L143">
        <f t="shared" ref="L143:L206" si="20">SUM(J130:J143)</f>
        <v>9842860426.0544682</v>
      </c>
      <c r="M143">
        <f t="shared" ref="M143:M206" si="21">SUM(K130:K143)</f>
        <v>16051059906.963734</v>
      </c>
      <c r="N143">
        <f t="shared" ref="N143:N206" si="22">L143/M143</f>
        <v>0.61322183600997926</v>
      </c>
      <c r="O143">
        <f t="shared" ref="O143:O206" si="23">100-(100/(1+N143))</f>
        <v>38.012244957375216</v>
      </c>
    </row>
    <row r="144" spans="1:15">
      <c r="A144" s="8">
        <v>42487</v>
      </c>
      <c r="B144">
        <v>51.48</v>
      </c>
      <c r="C144">
        <v>51.5</v>
      </c>
      <c r="D144">
        <v>50.549999</v>
      </c>
      <c r="E144">
        <v>50.939999</v>
      </c>
      <c r="F144">
        <v>46.225475000000003</v>
      </c>
      <c r="G144">
        <v>43369300</v>
      </c>
      <c r="H144">
        <f t="shared" si="16"/>
        <v>50.996666000000005</v>
      </c>
      <c r="I144">
        <f t="shared" si="17"/>
        <v>2211689706.7538004</v>
      </c>
      <c r="J144">
        <f t="shared" si="18"/>
        <v>0</v>
      </c>
      <c r="K144">
        <f t="shared" si="19"/>
        <v>2211689706.7538004</v>
      </c>
      <c r="L144">
        <f t="shared" si="20"/>
        <v>9842860426.0544682</v>
      </c>
      <c r="M144">
        <f t="shared" si="21"/>
        <v>17214340833.459236</v>
      </c>
      <c r="N144">
        <f t="shared" si="22"/>
        <v>0.57178259227463768</v>
      </c>
      <c r="O144">
        <f t="shared" si="23"/>
        <v>36.377969515947534</v>
      </c>
    </row>
    <row r="145" spans="1:15">
      <c r="A145" s="8">
        <v>42488</v>
      </c>
      <c r="B145">
        <v>50.619999</v>
      </c>
      <c r="C145">
        <v>50.77</v>
      </c>
      <c r="D145">
        <v>49.560001</v>
      </c>
      <c r="E145">
        <v>49.900002000000001</v>
      </c>
      <c r="F145">
        <v>45.281726999999997</v>
      </c>
      <c r="G145">
        <v>43134800</v>
      </c>
      <c r="H145">
        <f t="shared" si="16"/>
        <v>50.076667666666673</v>
      </c>
      <c r="I145">
        <f t="shared" si="17"/>
        <v>2160047044.4681334</v>
      </c>
      <c r="J145">
        <f t="shared" si="18"/>
        <v>0</v>
      </c>
      <c r="K145">
        <f t="shared" si="19"/>
        <v>2160047044.4681334</v>
      </c>
      <c r="L145">
        <f t="shared" si="20"/>
        <v>8630905733.5550003</v>
      </c>
      <c r="M145">
        <f t="shared" si="21"/>
        <v>19374387877.927368</v>
      </c>
      <c r="N145">
        <f t="shared" si="22"/>
        <v>0.44548017660923989</v>
      </c>
      <c r="O145">
        <f t="shared" si="23"/>
        <v>30.818836800255042</v>
      </c>
    </row>
    <row r="146" spans="1:15">
      <c r="A146" s="8">
        <v>42489</v>
      </c>
      <c r="B146">
        <v>49.349997999999999</v>
      </c>
      <c r="C146">
        <v>50.25</v>
      </c>
      <c r="D146">
        <v>49.349997999999999</v>
      </c>
      <c r="E146">
        <v>49.869999</v>
      </c>
      <c r="F146">
        <v>45.254505000000002</v>
      </c>
      <c r="G146">
        <v>48411700</v>
      </c>
      <c r="H146">
        <f t="shared" si="16"/>
        <v>49.823332333333333</v>
      </c>
      <c r="I146">
        <f t="shared" si="17"/>
        <v>2412032217.9216332</v>
      </c>
      <c r="J146">
        <f t="shared" si="18"/>
        <v>0</v>
      </c>
      <c r="K146">
        <f t="shared" si="19"/>
        <v>2412032217.9216332</v>
      </c>
      <c r="L146">
        <f t="shared" si="20"/>
        <v>8630905733.5550003</v>
      </c>
      <c r="M146">
        <f t="shared" si="21"/>
        <v>20617490284.239532</v>
      </c>
      <c r="N146">
        <f t="shared" si="22"/>
        <v>0.4186205796421622</v>
      </c>
      <c r="O146">
        <f t="shared" si="23"/>
        <v>29.508988213589603</v>
      </c>
    </row>
    <row r="147" spans="1:15">
      <c r="A147" s="8">
        <v>42492</v>
      </c>
      <c r="B147">
        <v>50</v>
      </c>
      <c r="C147">
        <v>50.75</v>
      </c>
      <c r="D147">
        <v>49.779998999999997</v>
      </c>
      <c r="E147">
        <v>50.610000999999997</v>
      </c>
      <c r="F147">
        <v>45.926006000000001</v>
      </c>
      <c r="G147">
        <v>33114500</v>
      </c>
      <c r="H147">
        <f t="shared" si="16"/>
        <v>50.379999999999995</v>
      </c>
      <c r="I147">
        <f t="shared" si="17"/>
        <v>1668308509.9999998</v>
      </c>
      <c r="J147">
        <f t="shared" si="18"/>
        <v>1668308509.9999998</v>
      </c>
      <c r="K147">
        <f t="shared" si="19"/>
        <v>0</v>
      </c>
      <c r="L147">
        <f t="shared" si="20"/>
        <v>10299214243.555</v>
      </c>
      <c r="M147">
        <f t="shared" si="21"/>
        <v>19260603520.220966</v>
      </c>
      <c r="N147">
        <f t="shared" si="22"/>
        <v>0.53472957027240875</v>
      </c>
      <c r="O147">
        <f t="shared" si="23"/>
        <v>34.8419409275796</v>
      </c>
    </row>
    <row r="148" spans="1:15">
      <c r="A148" s="8">
        <v>42493</v>
      </c>
      <c r="B148">
        <v>50.34</v>
      </c>
      <c r="C148">
        <v>50.41</v>
      </c>
      <c r="D148">
        <v>49.599997999999999</v>
      </c>
      <c r="E148">
        <v>49.779998999999997</v>
      </c>
      <c r="F148">
        <v>45.172835999999997</v>
      </c>
      <c r="G148">
        <v>26460200</v>
      </c>
      <c r="H148">
        <f t="shared" si="16"/>
        <v>49.929999000000002</v>
      </c>
      <c r="I148">
        <f t="shared" si="17"/>
        <v>1321157759.5398002</v>
      </c>
      <c r="J148">
        <f t="shared" si="18"/>
        <v>0</v>
      </c>
      <c r="K148">
        <f t="shared" si="19"/>
        <v>1321157759.5398002</v>
      </c>
      <c r="L148">
        <f t="shared" si="20"/>
        <v>9149505524.6456661</v>
      </c>
      <c r="M148">
        <f t="shared" si="21"/>
        <v>20581761279.760765</v>
      </c>
      <c r="N148">
        <f t="shared" si="22"/>
        <v>0.44454434196760911</v>
      </c>
      <c r="O148">
        <f t="shared" si="23"/>
        <v>30.774018425913923</v>
      </c>
    </row>
    <row r="149" spans="1:15">
      <c r="A149" s="8">
        <v>42494</v>
      </c>
      <c r="B149">
        <v>49.84</v>
      </c>
      <c r="C149">
        <v>50.060001</v>
      </c>
      <c r="D149">
        <v>49.459999000000003</v>
      </c>
      <c r="E149">
        <v>49.869999</v>
      </c>
      <c r="F149">
        <v>45.254505000000002</v>
      </c>
      <c r="G149">
        <v>24257600</v>
      </c>
      <c r="H149">
        <f t="shared" si="16"/>
        <v>49.796666333333341</v>
      </c>
      <c r="I149">
        <f t="shared" si="17"/>
        <v>1207947613.2474668</v>
      </c>
      <c r="J149">
        <f t="shared" si="18"/>
        <v>0</v>
      </c>
      <c r="K149">
        <f t="shared" si="19"/>
        <v>1207947613.2474668</v>
      </c>
      <c r="L149">
        <f t="shared" si="20"/>
        <v>7994236380.1019001</v>
      </c>
      <c r="M149">
        <f t="shared" si="21"/>
        <v>21789708893.008232</v>
      </c>
      <c r="N149">
        <f t="shared" si="22"/>
        <v>0.36688128415827753</v>
      </c>
      <c r="O149">
        <f t="shared" si="23"/>
        <v>26.840757014549524</v>
      </c>
    </row>
    <row r="150" spans="1:15">
      <c r="A150" s="8">
        <v>42495</v>
      </c>
      <c r="B150">
        <v>49.869999</v>
      </c>
      <c r="C150">
        <v>50.299999</v>
      </c>
      <c r="D150">
        <v>49.73</v>
      </c>
      <c r="E150">
        <v>49.939999</v>
      </c>
      <c r="F150">
        <v>45.318016</v>
      </c>
      <c r="G150">
        <v>25390700</v>
      </c>
      <c r="H150">
        <f t="shared" si="16"/>
        <v>49.989999333333337</v>
      </c>
      <c r="I150">
        <f t="shared" si="17"/>
        <v>1269281076.0728667</v>
      </c>
      <c r="J150">
        <f t="shared" si="18"/>
        <v>1269281076.0728667</v>
      </c>
      <c r="K150">
        <f t="shared" si="19"/>
        <v>0</v>
      </c>
      <c r="L150">
        <f t="shared" si="20"/>
        <v>7663733918.5768337</v>
      </c>
      <c r="M150">
        <f t="shared" si="21"/>
        <v>21789708893.008232</v>
      </c>
      <c r="N150">
        <f t="shared" si="22"/>
        <v>0.35171346052429053</v>
      </c>
      <c r="O150">
        <f t="shared" si="23"/>
        <v>26.019823786312742</v>
      </c>
    </row>
    <row r="151" spans="1:15">
      <c r="A151" s="8">
        <v>42496</v>
      </c>
      <c r="B151">
        <v>49.919998</v>
      </c>
      <c r="C151">
        <v>50.389999000000003</v>
      </c>
      <c r="D151">
        <v>49.66</v>
      </c>
      <c r="E151">
        <v>50.389999000000003</v>
      </c>
      <c r="F151">
        <v>45.72636</v>
      </c>
      <c r="G151">
        <v>24787300</v>
      </c>
      <c r="H151">
        <f t="shared" si="16"/>
        <v>50.146666000000003</v>
      </c>
      <c r="I151">
        <f t="shared" si="17"/>
        <v>1243000454.1418002</v>
      </c>
      <c r="J151">
        <f t="shared" si="18"/>
        <v>1243000454.1418002</v>
      </c>
      <c r="K151">
        <f t="shared" si="19"/>
        <v>0</v>
      </c>
      <c r="L151">
        <f t="shared" si="20"/>
        <v>7572656935.2426329</v>
      </c>
      <c r="M151">
        <f t="shared" si="21"/>
        <v>21789708893.008232</v>
      </c>
      <c r="N151">
        <f t="shared" si="22"/>
        <v>0.34753364408977983</v>
      </c>
      <c r="O151">
        <f t="shared" si="23"/>
        <v>25.790350067625127</v>
      </c>
    </row>
    <row r="152" spans="1:15">
      <c r="A152" s="8">
        <v>42499</v>
      </c>
      <c r="B152">
        <v>50.490001999999997</v>
      </c>
      <c r="C152">
        <v>50.59</v>
      </c>
      <c r="D152">
        <v>50</v>
      </c>
      <c r="E152">
        <v>50.07</v>
      </c>
      <c r="F152">
        <v>45.435986</v>
      </c>
      <c r="G152">
        <v>17951600</v>
      </c>
      <c r="H152">
        <f t="shared" si="16"/>
        <v>50.22</v>
      </c>
      <c r="I152">
        <f t="shared" si="17"/>
        <v>901529352</v>
      </c>
      <c r="J152">
        <f t="shared" si="18"/>
        <v>901529352</v>
      </c>
      <c r="K152">
        <f t="shared" si="19"/>
        <v>0</v>
      </c>
      <c r="L152">
        <f t="shared" si="20"/>
        <v>6808478393.1082325</v>
      </c>
      <c r="M152">
        <f t="shared" si="21"/>
        <v>21789708893.008232</v>
      </c>
      <c r="N152">
        <f t="shared" si="22"/>
        <v>0.312463026768242</v>
      </c>
      <c r="O152">
        <f t="shared" si="23"/>
        <v>23.807377457149315</v>
      </c>
    </row>
    <row r="153" spans="1:15">
      <c r="A153" s="8">
        <v>42500</v>
      </c>
      <c r="B153">
        <v>50.330002</v>
      </c>
      <c r="C153">
        <v>51.099997999999999</v>
      </c>
      <c r="D153">
        <v>50.189999</v>
      </c>
      <c r="E153">
        <v>51.02</v>
      </c>
      <c r="F153">
        <v>46.298068999999998</v>
      </c>
      <c r="G153">
        <v>22891000</v>
      </c>
      <c r="H153">
        <f t="shared" si="16"/>
        <v>50.769999000000006</v>
      </c>
      <c r="I153">
        <f t="shared" si="17"/>
        <v>1162176047.1090002</v>
      </c>
      <c r="J153">
        <f t="shared" si="18"/>
        <v>1162176047.1090002</v>
      </c>
      <c r="K153">
        <f t="shared" si="19"/>
        <v>0</v>
      </c>
      <c r="L153">
        <f t="shared" si="20"/>
        <v>7970654440.2172327</v>
      </c>
      <c r="M153">
        <f t="shared" si="21"/>
        <v>19767817066.877766</v>
      </c>
      <c r="N153">
        <f t="shared" si="22"/>
        <v>0.40321368885857262</v>
      </c>
      <c r="O153">
        <f t="shared" si="23"/>
        <v>28.735016773287185</v>
      </c>
    </row>
    <row r="154" spans="1:15">
      <c r="A154" s="8">
        <v>42501</v>
      </c>
      <c r="B154">
        <v>51.130001</v>
      </c>
      <c r="C154">
        <v>51.779998999999997</v>
      </c>
      <c r="D154">
        <v>51</v>
      </c>
      <c r="E154">
        <v>51.049999</v>
      </c>
      <c r="F154">
        <v>46.325294</v>
      </c>
      <c r="G154">
        <v>24039100</v>
      </c>
      <c r="H154">
        <f t="shared" si="16"/>
        <v>51.276665999999999</v>
      </c>
      <c r="I154">
        <f t="shared" si="17"/>
        <v>1232644901.6406</v>
      </c>
      <c r="J154">
        <f t="shared" si="18"/>
        <v>1232644901.6406</v>
      </c>
      <c r="K154">
        <f t="shared" si="19"/>
        <v>0</v>
      </c>
      <c r="L154">
        <f t="shared" si="20"/>
        <v>9203299341.857832</v>
      </c>
      <c r="M154">
        <f t="shared" si="21"/>
        <v>17596300234.786865</v>
      </c>
      <c r="N154">
        <f t="shared" si="22"/>
        <v>0.5230246824081487</v>
      </c>
      <c r="O154">
        <f t="shared" si="23"/>
        <v>34.34118228347829</v>
      </c>
    </row>
    <row r="155" spans="1:15">
      <c r="A155" s="8">
        <v>42502</v>
      </c>
      <c r="B155">
        <v>51.200001</v>
      </c>
      <c r="C155">
        <v>51.810001</v>
      </c>
      <c r="D155">
        <v>50.919998</v>
      </c>
      <c r="E155">
        <v>51.509998000000003</v>
      </c>
      <c r="F155">
        <v>46.742718000000004</v>
      </c>
      <c r="G155">
        <v>24102800</v>
      </c>
      <c r="H155">
        <f t="shared" si="16"/>
        <v>51.413332333333329</v>
      </c>
      <c r="I155">
        <f t="shared" si="17"/>
        <v>1239205266.5638666</v>
      </c>
      <c r="J155">
        <f t="shared" si="18"/>
        <v>1239205266.5638666</v>
      </c>
      <c r="K155">
        <f t="shared" si="19"/>
        <v>0</v>
      </c>
      <c r="L155">
        <f t="shared" si="20"/>
        <v>10442504608.4217</v>
      </c>
      <c r="M155">
        <f t="shared" si="21"/>
        <v>11044050671.064901</v>
      </c>
      <c r="N155">
        <f t="shared" si="22"/>
        <v>0.94553211674234383</v>
      </c>
      <c r="O155">
        <f t="shared" si="23"/>
        <v>48.600180310853496</v>
      </c>
    </row>
    <row r="156" spans="1:15">
      <c r="A156" s="8">
        <v>42503</v>
      </c>
      <c r="B156">
        <v>51.439999</v>
      </c>
      <c r="C156">
        <v>51.900002000000001</v>
      </c>
      <c r="D156">
        <v>51.040000999999997</v>
      </c>
      <c r="E156">
        <v>51.080002</v>
      </c>
      <c r="F156">
        <v>46.352516000000001</v>
      </c>
      <c r="G156">
        <v>22592300</v>
      </c>
      <c r="H156">
        <f t="shared" si="16"/>
        <v>51.340001666666666</v>
      </c>
      <c r="I156">
        <f t="shared" si="17"/>
        <v>1159888719.6538334</v>
      </c>
      <c r="J156">
        <f t="shared" si="18"/>
        <v>0</v>
      </c>
      <c r="K156">
        <f t="shared" si="19"/>
        <v>1159888719.6538334</v>
      </c>
      <c r="L156">
        <f t="shared" si="20"/>
        <v>8716145607.5281334</v>
      </c>
      <c r="M156">
        <f t="shared" si="21"/>
        <v>12203939390.718735</v>
      </c>
      <c r="N156">
        <f t="shared" si="22"/>
        <v>0.71420754630729177</v>
      </c>
      <c r="O156">
        <f t="shared" si="23"/>
        <v>41.66400666277675</v>
      </c>
    </row>
    <row r="157" spans="1:15">
      <c r="A157" s="8">
        <v>42506</v>
      </c>
      <c r="B157">
        <v>50.799999</v>
      </c>
      <c r="C157">
        <v>51.959999000000003</v>
      </c>
      <c r="D157">
        <v>50.75</v>
      </c>
      <c r="E157">
        <v>51.830002</v>
      </c>
      <c r="F157">
        <v>47.033099999999997</v>
      </c>
      <c r="G157">
        <v>20032000</v>
      </c>
      <c r="H157">
        <f t="shared" si="16"/>
        <v>51.513333666666675</v>
      </c>
      <c r="I157">
        <f t="shared" si="17"/>
        <v>1031915100.0106668</v>
      </c>
      <c r="J157">
        <f t="shared" si="18"/>
        <v>1031915100.0106668</v>
      </c>
      <c r="K157">
        <f t="shared" si="19"/>
        <v>0</v>
      </c>
      <c r="L157">
        <f t="shared" si="20"/>
        <v>9748060707.5387993</v>
      </c>
      <c r="M157">
        <f t="shared" si="21"/>
        <v>10472763061.584667</v>
      </c>
      <c r="N157">
        <f t="shared" si="22"/>
        <v>0.93080122697474543</v>
      </c>
      <c r="O157">
        <f t="shared" si="23"/>
        <v>48.208029597803865</v>
      </c>
    </row>
    <row r="158" spans="1:15">
      <c r="A158" s="8">
        <v>42507</v>
      </c>
      <c r="B158">
        <v>51.720001000000003</v>
      </c>
      <c r="C158">
        <v>51.73</v>
      </c>
      <c r="D158">
        <v>50.360000999999997</v>
      </c>
      <c r="E158">
        <v>50.509998000000003</v>
      </c>
      <c r="F158">
        <v>46.155861000000002</v>
      </c>
      <c r="G158">
        <v>27803500</v>
      </c>
      <c r="H158">
        <f t="shared" si="16"/>
        <v>50.866666333333335</v>
      </c>
      <c r="I158">
        <f t="shared" si="17"/>
        <v>1414271357.3988333</v>
      </c>
      <c r="J158">
        <f t="shared" si="18"/>
        <v>0</v>
      </c>
      <c r="K158">
        <f t="shared" si="19"/>
        <v>1414271357.3988333</v>
      </c>
      <c r="L158">
        <f t="shared" si="20"/>
        <v>9748060707.5387993</v>
      </c>
      <c r="M158">
        <f t="shared" si="21"/>
        <v>9675344712.229702</v>
      </c>
      <c r="N158">
        <f t="shared" si="22"/>
        <v>1.0075155973737229</v>
      </c>
      <c r="O158">
        <f t="shared" si="23"/>
        <v>50.18718652506498</v>
      </c>
    </row>
    <row r="159" spans="1:15">
      <c r="A159" s="8">
        <v>42508</v>
      </c>
      <c r="B159">
        <v>50.48</v>
      </c>
      <c r="C159">
        <v>51.139999000000003</v>
      </c>
      <c r="D159">
        <v>50.299999</v>
      </c>
      <c r="E159">
        <v>50.810001</v>
      </c>
      <c r="F159">
        <v>46.43</v>
      </c>
      <c r="G159">
        <v>24907500</v>
      </c>
      <c r="H159">
        <f t="shared" si="16"/>
        <v>50.749999666666668</v>
      </c>
      <c r="I159">
        <f t="shared" si="17"/>
        <v>1264055616.6975</v>
      </c>
      <c r="J159">
        <f t="shared" si="18"/>
        <v>0</v>
      </c>
      <c r="K159">
        <f t="shared" si="19"/>
        <v>1264055616.6975</v>
      </c>
      <c r="L159">
        <f t="shared" si="20"/>
        <v>9748060707.5387993</v>
      </c>
      <c r="M159">
        <f t="shared" si="21"/>
        <v>8779353284.4590664</v>
      </c>
      <c r="N159">
        <f t="shared" si="22"/>
        <v>1.1103392689293536</v>
      </c>
      <c r="O159">
        <f t="shared" si="23"/>
        <v>52.614254270720473</v>
      </c>
    </row>
    <row r="160" spans="1:15">
      <c r="A160" s="8">
        <v>42509</v>
      </c>
      <c r="B160">
        <v>50.470001000000003</v>
      </c>
      <c r="C160">
        <v>50.619999</v>
      </c>
      <c r="D160">
        <v>49.82</v>
      </c>
      <c r="E160">
        <v>50.32</v>
      </c>
      <c r="F160">
        <v>45.982235000000003</v>
      </c>
      <c r="G160">
        <v>23842400</v>
      </c>
      <c r="H160">
        <f t="shared" si="16"/>
        <v>50.253332999999998</v>
      </c>
      <c r="I160">
        <f t="shared" si="17"/>
        <v>1198160066.7191999</v>
      </c>
      <c r="J160">
        <f t="shared" si="18"/>
        <v>0</v>
      </c>
      <c r="K160">
        <f t="shared" si="19"/>
        <v>1198160066.7191999</v>
      </c>
      <c r="L160">
        <f t="shared" si="20"/>
        <v>9748060707.5387993</v>
      </c>
      <c r="M160">
        <f t="shared" si="21"/>
        <v>7565481133.2566338</v>
      </c>
      <c r="N160">
        <f t="shared" si="22"/>
        <v>1.2884918402199033</v>
      </c>
      <c r="O160">
        <f t="shared" si="23"/>
        <v>56.303099603627636</v>
      </c>
    </row>
    <row r="161" spans="1:15">
      <c r="A161" s="8">
        <v>42510</v>
      </c>
      <c r="B161">
        <v>50.48</v>
      </c>
      <c r="C161">
        <v>51.220001000000003</v>
      </c>
      <c r="D161">
        <v>50.400002000000001</v>
      </c>
      <c r="E161">
        <v>50.619999</v>
      </c>
      <c r="F161">
        <v>46.256374000000001</v>
      </c>
      <c r="G161">
        <v>23905800</v>
      </c>
      <c r="H161">
        <f t="shared" si="16"/>
        <v>50.746667333333335</v>
      </c>
      <c r="I161">
        <f t="shared" si="17"/>
        <v>1213139679.9372001</v>
      </c>
      <c r="J161">
        <f t="shared" si="18"/>
        <v>1213139679.9372001</v>
      </c>
      <c r="K161">
        <f t="shared" si="19"/>
        <v>0</v>
      </c>
      <c r="L161">
        <f t="shared" si="20"/>
        <v>9292891877.4760017</v>
      </c>
      <c r="M161">
        <f t="shared" si="21"/>
        <v>7565481133.2566338</v>
      </c>
      <c r="N161">
        <f t="shared" si="22"/>
        <v>1.2283279429018663</v>
      </c>
      <c r="O161">
        <f t="shared" si="23"/>
        <v>55.123302062184869</v>
      </c>
    </row>
    <row r="162" spans="1:15">
      <c r="A162" s="8">
        <v>42513</v>
      </c>
      <c r="B162">
        <v>50.599997999999999</v>
      </c>
      <c r="C162">
        <v>50.68</v>
      </c>
      <c r="D162">
        <v>49.98</v>
      </c>
      <c r="E162">
        <v>50.029998999999997</v>
      </c>
      <c r="F162">
        <v>45.717236</v>
      </c>
      <c r="G162">
        <v>26118700</v>
      </c>
      <c r="H162">
        <f t="shared" si="16"/>
        <v>50.229999666666664</v>
      </c>
      <c r="I162">
        <f t="shared" si="17"/>
        <v>1311942292.2937665</v>
      </c>
      <c r="J162">
        <f t="shared" si="18"/>
        <v>0</v>
      </c>
      <c r="K162">
        <f t="shared" si="19"/>
        <v>1311942292.2937665</v>
      </c>
      <c r="L162">
        <f t="shared" si="20"/>
        <v>9292891877.4760017</v>
      </c>
      <c r="M162">
        <f t="shared" si="21"/>
        <v>7556265666.010601</v>
      </c>
      <c r="N162">
        <f t="shared" si="22"/>
        <v>1.2298259865686099</v>
      </c>
      <c r="O162">
        <f t="shared" si="23"/>
        <v>55.153451165090239</v>
      </c>
    </row>
    <row r="163" spans="1:15">
      <c r="A163" s="8">
        <v>42514</v>
      </c>
      <c r="B163">
        <v>50.700001</v>
      </c>
      <c r="C163">
        <v>51.709999000000003</v>
      </c>
      <c r="D163">
        <v>50.400002000000001</v>
      </c>
      <c r="E163">
        <v>51.59</v>
      </c>
      <c r="F163">
        <v>47.142757000000003</v>
      </c>
      <c r="G163">
        <v>34757900</v>
      </c>
      <c r="H163">
        <f t="shared" si="16"/>
        <v>51.233333666666674</v>
      </c>
      <c r="I163">
        <f t="shared" si="17"/>
        <v>1780763088.2526336</v>
      </c>
      <c r="J163">
        <f t="shared" si="18"/>
        <v>1780763088.2526336</v>
      </c>
      <c r="K163">
        <f t="shared" si="19"/>
        <v>0</v>
      </c>
      <c r="L163">
        <f t="shared" si="20"/>
        <v>11073654965.728636</v>
      </c>
      <c r="M163">
        <f t="shared" si="21"/>
        <v>6348318052.763134</v>
      </c>
      <c r="N163">
        <f t="shared" si="22"/>
        <v>1.7443447025954817</v>
      </c>
      <c r="O163">
        <f t="shared" si="23"/>
        <v>63.561428742743445</v>
      </c>
    </row>
    <row r="164" spans="1:15">
      <c r="A164" s="8">
        <v>42515</v>
      </c>
      <c r="B164">
        <v>51.919998</v>
      </c>
      <c r="C164">
        <v>52.490001999999997</v>
      </c>
      <c r="D164">
        <v>51.790000999999997</v>
      </c>
      <c r="E164">
        <v>52.119999</v>
      </c>
      <c r="F164">
        <v>47.627071000000001</v>
      </c>
      <c r="G164">
        <v>24040200</v>
      </c>
      <c r="H164">
        <f t="shared" si="16"/>
        <v>52.133333999999998</v>
      </c>
      <c r="I164">
        <f t="shared" si="17"/>
        <v>1253295776.0267999</v>
      </c>
      <c r="J164">
        <f t="shared" si="18"/>
        <v>1253295776.0267999</v>
      </c>
      <c r="K164">
        <f t="shared" si="19"/>
        <v>0</v>
      </c>
      <c r="L164">
        <f t="shared" si="20"/>
        <v>11057669665.682568</v>
      </c>
      <c r="M164">
        <f t="shared" si="21"/>
        <v>6348318052.763134</v>
      </c>
      <c r="N164">
        <f t="shared" si="22"/>
        <v>1.7418266655479977</v>
      </c>
      <c r="O164">
        <f t="shared" si="23"/>
        <v>63.527964310605533</v>
      </c>
    </row>
    <row r="165" spans="1:15">
      <c r="A165" s="8">
        <v>42516</v>
      </c>
      <c r="B165">
        <v>51.93</v>
      </c>
      <c r="C165">
        <v>51.98</v>
      </c>
      <c r="D165">
        <v>51.360000999999997</v>
      </c>
      <c r="E165">
        <v>51.889999000000003</v>
      </c>
      <c r="F165">
        <v>47.416904000000002</v>
      </c>
      <c r="G165">
        <v>24335200</v>
      </c>
      <c r="H165">
        <f t="shared" si="16"/>
        <v>51.743333333333339</v>
      </c>
      <c r="I165">
        <f t="shared" si="17"/>
        <v>1259184365.3333335</v>
      </c>
      <c r="J165">
        <f t="shared" si="18"/>
        <v>0</v>
      </c>
      <c r="K165">
        <f t="shared" si="19"/>
        <v>1259184365.3333335</v>
      </c>
      <c r="L165">
        <f t="shared" si="20"/>
        <v>9814669211.5407677</v>
      </c>
      <c r="M165">
        <f t="shared" si="21"/>
        <v>7607502418.096468</v>
      </c>
      <c r="N165">
        <f t="shared" si="22"/>
        <v>1.290130278262412</v>
      </c>
      <c r="O165">
        <f t="shared" si="23"/>
        <v>56.334361870507692</v>
      </c>
    </row>
    <row r="166" spans="1:15">
      <c r="A166" s="8">
        <v>42517</v>
      </c>
      <c r="B166">
        <v>51.919998</v>
      </c>
      <c r="C166">
        <v>52.32</v>
      </c>
      <c r="D166">
        <v>51.77</v>
      </c>
      <c r="E166">
        <v>52.32</v>
      </c>
      <c r="F166">
        <v>47.809829999999998</v>
      </c>
      <c r="G166">
        <v>17721400</v>
      </c>
      <c r="H166">
        <f t="shared" si="16"/>
        <v>52.136666666666663</v>
      </c>
      <c r="I166">
        <f t="shared" si="17"/>
        <v>923934724.66666663</v>
      </c>
      <c r="J166">
        <f t="shared" si="18"/>
        <v>923934724.66666663</v>
      </c>
      <c r="K166">
        <f t="shared" si="19"/>
        <v>0</v>
      </c>
      <c r="L166">
        <f t="shared" si="20"/>
        <v>9837074584.2074337</v>
      </c>
      <c r="M166">
        <f t="shared" si="21"/>
        <v>7607502418.096468</v>
      </c>
      <c r="N166">
        <f t="shared" si="22"/>
        <v>1.2930754462604357</v>
      </c>
      <c r="O166">
        <f t="shared" si="23"/>
        <v>56.390444909660197</v>
      </c>
    </row>
    <row r="167" spans="1:15">
      <c r="A167" s="8">
        <v>42521</v>
      </c>
      <c r="B167">
        <v>52.259998000000003</v>
      </c>
      <c r="C167">
        <v>53</v>
      </c>
      <c r="D167">
        <v>52.080002</v>
      </c>
      <c r="E167">
        <v>53</v>
      </c>
      <c r="F167">
        <v>48.431213</v>
      </c>
      <c r="G167">
        <v>37653100</v>
      </c>
      <c r="H167">
        <f t="shared" si="16"/>
        <v>52.693334</v>
      </c>
      <c r="I167">
        <f t="shared" si="17"/>
        <v>1984067374.4354</v>
      </c>
      <c r="J167">
        <f t="shared" si="18"/>
        <v>1984067374.4354</v>
      </c>
      <c r="K167">
        <f t="shared" si="19"/>
        <v>0</v>
      </c>
      <c r="L167">
        <f t="shared" si="20"/>
        <v>10658965911.533834</v>
      </c>
      <c r="M167">
        <f t="shared" si="21"/>
        <v>7607502418.096468</v>
      </c>
      <c r="N167">
        <f t="shared" si="22"/>
        <v>1.4011123921799418</v>
      </c>
      <c r="O167">
        <f t="shared" si="23"/>
        <v>58.352636750497474</v>
      </c>
    </row>
    <row r="168" spans="1:15">
      <c r="A168" s="8">
        <v>42522</v>
      </c>
      <c r="B168">
        <v>52.439999</v>
      </c>
      <c r="C168">
        <v>52.950001</v>
      </c>
      <c r="D168">
        <v>52.439999</v>
      </c>
      <c r="E168">
        <v>52.849997999999999</v>
      </c>
      <c r="F168">
        <v>48.294159000000001</v>
      </c>
      <c r="G168">
        <v>25324800</v>
      </c>
      <c r="H168">
        <f t="shared" si="16"/>
        <v>52.746666000000005</v>
      </c>
      <c r="I168">
        <f t="shared" si="17"/>
        <v>1335798767.1168001</v>
      </c>
      <c r="J168">
        <f t="shared" si="18"/>
        <v>1335798767.1168001</v>
      </c>
      <c r="K168">
        <f t="shared" si="19"/>
        <v>0</v>
      </c>
      <c r="L168">
        <f t="shared" si="20"/>
        <v>10762119777.010035</v>
      </c>
      <c r="M168">
        <f t="shared" si="21"/>
        <v>7607502418.096468</v>
      </c>
      <c r="N168">
        <f t="shared" si="22"/>
        <v>1.4146718838247714</v>
      </c>
      <c r="O168">
        <f t="shared" si="23"/>
        <v>58.586505823059134</v>
      </c>
    </row>
    <row r="169" spans="1:15">
      <c r="A169" s="8">
        <v>42523</v>
      </c>
      <c r="B169">
        <v>52.639999000000003</v>
      </c>
      <c r="C169">
        <v>52.740001999999997</v>
      </c>
      <c r="D169">
        <v>51.84</v>
      </c>
      <c r="E169">
        <v>52.48</v>
      </c>
      <c r="F169">
        <v>47.956038999999997</v>
      </c>
      <c r="G169">
        <v>22840800</v>
      </c>
      <c r="H169">
        <f t="shared" si="16"/>
        <v>52.353333999999997</v>
      </c>
      <c r="I169">
        <f t="shared" si="17"/>
        <v>1195792031.2272</v>
      </c>
      <c r="J169">
        <f t="shared" si="18"/>
        <v>0</v>
      </c>
      <c r="K169">
        <f t="shared" si="19"/>
        <v>1195792031.2272</v>
      </c>
      <c r="L169">
        <f t="shared" si="20"/>
        <v>9522914510.446167</v>
      </c>
      <c r="M169">
        <f t="shared" si="21"/>
        <v>8803294449.3236675</v>
      </c>
      <c r="N169">
        <f t="shared" si="22"/>
        <v>1.0817444043550974</v>
      </c>
      <c r="O169">
        <f t="shared" si="23"/>
        <v>51.963363133919913</v>
      </c>
    </row>
    <row r="170" spans="1:15">
      <c r="A170" s="8">
        <v>42524</v>
      </c>
      <c r="B170">
        <v>52.380001</v>
      </c>
      <c r="C170">
        <v>52.419998</v>
      </c>
      <c r="D170">
        <v>51.599997999999999</v>
      </c>
      <c r="E170">
        <v>51.790000999999997</v>
      </c>
      <c r="F170">
        <v>47.325527000000001</v>
      </c>
      <c r="G170">
        <v>23368300</v>
      </c>
      <c r="H170">
        <f t="shared" si="16"/>
        <v>51.936665666666663</v>
      </c>
      <c r="I170">
        <f t="shared" si="17"/>
        <v>1213671584.2983665</v>
      </c>
      <c r="J170">
        <f t="shared" si="18"/>
        <v>0</v>
      </c>
      <c r="K170">
        <f t="shared" si="19"/>
        <v>1213671584.2983665</v>
      </c>
      <c r="L170">
        <f t="shared" si="20"/>
        <v>9522914510.446167</v>
      </c>
      <c r="M170">
        <f t="shared" si="21"/>
        <v>8857077313.9682007</v>
      </c>
      <c r="N170">
        <f t="shared" si="22"/>
        <v>1.0751757236473365</v>
      </c>
      <c r="O170">
        <f t="shared" si="23"/>
        <v>51.811309827661425</v>
      </c>
    </row>
    <row r="171" spans="1:15">
      <c r="A171" s="8">
        <v>42527</v>
      </c>
      <c r="B171">
        <v>51.990001999999997</v>
      </c>
      <c r="C171">
        <v>52.349997999999999</v>
      </c>
      <c r="D171">
        <v>51.889999000000003</v>
      </c>
      <c r="E171">
        <v>52.130001</v>
      </c>
      <c r="F171">
        <v>47.636211000000003</v>
      </c>
      <c r="G171">
        <v>18243300</v>
      </c>
      <c r="H171">
        <f t="shared" si="16"/>
        <v>52.12333266666667</v>
      </c>
      <c r="I171">
        <f t="shared" si="17"/>
        <v>950901594.83780003</v>
      </c>
      <c r="J171">
        <f t="shared" si="18"/>
        <v>950901594.83780003</v>
      </c>
      <c r="K171">
        <f t="shared" si="19"/>
        <v>0</v>
      </c>
      <c r="L171">
        <f t="shared" si="20"/>
        <v>9441901005.2733002</v>
      </c>
      <c r="M171">
        <f t="shared" si="21"/>
        <v>8857077313.9682007</v>
      </c>
      <c r="N171">
        <f t="shared" si="22"/>
        <v>1.0660289698931265</v>
      </c>
      <c r="O171">
        <f t="shared" si="23"/>
        <v>51.597968151834337</v>
      </c>
    </row>
    <row r="172" spans="1:15">
      <c r="A172" s="8">
        <v>42528</v>
      </c>
      <c r="B172">
        <v>52.240001999999997</v>
      </c>
      <c r="C172">
        <v>52.73</v>
      </c>
      <c r="D172">
        <v>52.099997999999999</v>
      </c>
      <c r="E172">
        <v>52.099997999999999</v>
      </c>
      <c r="F172">
        <v>47.608798999999998</v>
      </c>
      <c r="G172">
        <v>20866800</v>
      </c>
      <c r="H172">
        <f t="shared" si="16"/>
        <v>52.309998666666665</v>
      </c>
      <c r="I172">
        <f t="shared" si="17"/>
        <v>1091542280.1775999</v>
      </c>
      <c r="J172">
        <f t="shared" si="18"/>
        <v>1091542280.1775999</v>
      </c>
      <c r="K172">
        <f t="shared" si="19"/>
        <v>0</v>
      </c>
      <c r="L172">
        <f t="shared" si="20"/>
        <v>10533443285.450901</v>
      </c>
      <c r="M172">
        <f t="shared" si="21"/>
        <v>7442805956.5693665</v>
      </c>
      <c r="N172">
        <f t="shared" si="22"/>
        <v>1.4152516331765435</v>
      </c>
      <c r="O172">
        <f t="shared" si="23"/>
        <v>58.596446587025056</v>
      </c>
    </row>
    <row r="173" spans="1:15">
      <c r="A173" s="8">
        <v>42529</v>
      </c>
      <c r="B173">
        <v>52.02</v>
      </c>
      <c r="C173">
        <v>52.439999</v>
      </c>
      <c r="D173">
        <v>51.869999</v>
      </c>
      <c r="E173">
        <v>52.040000999999997</v>
      </c>
      <c r="F173">
        <v>47.553981999999998</v>
      </c>
      <c r="G173">
        <v>21149400</v>
      </c>
      <c r="H173">
        <f t="shared" si="16"/>
        <v>52.116666333333335</v>
      </c>
      <c r="I173">
        <f t="shared" si="17"/>
        <v>1102236222.9502001</v>
      </c>
      <c r="J173">
        <f t="shared" si="18"/>
        <v>0</v>
      </c>
      <c r="K173">
        <f t="shared" si="19"/>
        <v>1102236222.9502001</v>
      </c>
      <c r="L173">
        <f t="shared" si="20"/>
        <v>10533443285.450901</v>
      </c>
      <c r="M173">
        <f t="shared" si="21"/>
        <v>7280986562.8220663</v>
      </c>
      <c r="N173">
        <f t="shared" si="22"/>
        <v>1.4467054971968252</v>
      </c>
      <c r="O173">
        <f t="shared" si="23"/>
        <v>59.128714054646395</v>
      </c>
    </row>
    <row r="174" spans="1:15">
      <c r="A174" s="8">
        <v>42530</v>
      </c>
      <c r="B174">
        <v>52</v>
      </c>
      <c r="C174">
        <v>52</v>
      </c>
      <c r="D174">
        <v>51.490001999999997</v>
      </c>
      <c r="E174">
        <v>51.619999</v>
      </c>
      <c r="F174">
        <v>47.170189000000001</v>
      </c>
      <c r="G174">
        <v>20305700</v>
      </c>
      <c r="H174">
        <f t="shared" si="16"/>
        <v>51.703333666666673</v>
      </c>
      <c r="I174">
        <f t="shared" si="17"/>
        <v>1049872382.4352335</v>
      </c>
      <c r="J174">
        <f t="shared" si="18"/>
        <v>0</v>
      </c>
      <c r="K174">
        <f t="shared" si="19"/>
        <v>1049872382.4352335</v>
      </c>
      <c r="L174">
        <f t="shared" si="20"/>
        <v>10533443285.450901</v>
      </c>
      <c r="M174">
        <f t="shared" si="21"/>
        <v>7132698878.5380993</v>
      </c>
      <c r="N174">
        <f t="shared" si="22"/>
        <v>1.4767822762216214</v>
      </c>
      <c r="O174">
        <f t="shared" si="23"/>
        <v>59.62503407745961</v>
      </c>
    </row>
    <row r="175" spans="1:15">
      <c r="A175" s="8">
        <v>42531</v>
      </c>
      <c r="B175">
        <v>51.049999</v>
      </c>
      <c r="C175">
        <v>52.049999</v>
      </c>
      <c r="D175">
        <v>51.040000999999997</v>
      </c>
      <c r="E175">
        <v>51.48</v>
      </c>
      <c r="F175">
        <v>47.042243999999997</v>
      </c>
      <c r="G175">
        <v>25833200</v>
      </c>
      <c r="H175">
        <f t="shared" si="16"/>
        <v>51.523333333333333</v>
      </c>
      <c r="I175">
        <f t="shared" si="17"/>
        <v>1331012574.6666667</v>
      </c>
      <c r="J175">
        <f t="shared" si="18"/>
        <v>0</v>
      </c>
      <c r="K175">
        <f t="shared" si="19"/>
        <v>1331012574.6666667</v>
      </c>
      <c r="L175">
        <f t="shared" si="20"/>
        <v>9320303605.5137005</v>
      </c>
      <c r="M175">
        <f t="shared" si="21"/>
        <v>8463711453.2047663</v>
      </c>
      <c r="N175">
        <f t="shared" si="22"/>
        <v>1.1012076270611266</v>
      </c>
      <c r="O175">
        <f t="shared" si="23"/>
        <v>52.408320476227324</v>
      </c>
    </row>
    <row r="176" spans="1:15">
      <c r="A176" s="8">
        <v>42534</v>
      </c>
      <c r="B176">
        <v>49.580002</v>
      </c>
      <c r="C176">
        <v>50.720001000000003</v>
      </c>
      <c r="D176">
        <v>49.060001</v>
      </c>
      <c r="E176">
        <v>50.139999000000003</v>
      </c>
      <c r="F176">
        <v>45.817757</v>
      </c>
      <c r="G176">
        <v>83217800</v>
      </c>
      <c r="H176">
        <f t="shared" si="16"/>
        <v>49.973333666666669</v>
      </c>
      <c r="I176">
        <f t="shared" si="17"/>
        <v>4158670886.4059334</v>
      </c>
      <c r="J176">
        <f t="shared" si="18"/>
        <v>0</v>
      </c>
      <c r="K176">
        <f t="shared" si="19"/>
        <v>4158670886.4059334</v>
      </c>
      <c r="L176">
        <f t="shared" si="20"/>
        <v>9320303605.5137005</v>
      </c>
      <c r="M176">
        <f t="shared" si="21"/>
        <v>11310440047.316933</v>
      </c>
      <c r="N176">
        <f t="shared" si="22"/>
        <v>0.82404429593565343</v>
      </c>
      <c r="O176">
        <f t="shared" si="23"/>
        <v>45.176769981507249</v>
      </c>
    </row>
    <row r="177" spans="1:15">
      <c r="A177" s="8">
        <v>42535</v>
      </c>
      <c r="B177">
        <v>49.900002000000001</v>
      </c>
      <c r="C177">
        <v>50.099997999999999</v>
      </c>
      <c r="D177">
        <v>49.57</v>
      </c>
      <c r="E177">
        <v>49.830002</v>
      </c>
      <c r="F177">
        <v>45.534477000000003</v>
      </c>
      <c r="G177">
        <v>42577100</v>
      </c>
      <c r="H177">
        <f t="shared" si="16"/>
        <v>49.833333333333336</v>
      </c>
      <c r="I177">
        <f t="shared" si="17"/>
        <v>2121758816.6666667</v>
      </c>
      <c r="J177">
        <f t="shared" si="18"/>
        <v>0</v>
      </c>
      <c r="K177">
        <f t="shared" si="19"/>
        <v>2121758816.6666667</v>
      </c>
      <c r="L177">
        <f t="shared" si="20"/>
        <v>7539540517.2610664</v>
      </c>
      <c r="M177">
        <f t="shared" si="21"/>
        <v>13432198863.983599</v>
      </c>
      <c r="N177">
        <f t="shared" si="22"/>
        <v>0.561303521010041</v>
      </c>
      <c r="O177">
        <f t="shared" si="23"/>
        <v>35.950954664274477</v>
      </c>
    </row>
    <row r="178" spans="1:15">
      <c r="A178" s="8">
        <v>42536</v>
      </c>
      <c r="B178">
        <v>49.779998999999997</v>
      </c>
      <c r="C178">
        <v>50.119999</v>
      </c>
      <c r="D178">
        <v>49.689999</v>
      </c>
      <c r="E178">
        <v>49.689999</v>
      </c>
      <c r="F178">
        <v>45.406548000000001</v>
      </c>
      <c r="G178">
        <v>33757600</v>
      </c>
      <c r="H178">
        <f t="shared" si="16"/>
        <v>49.833332333333338</v>
      </c>
      <c r="I178">
        <f t="shared" si="17"/>
        <v>1682253699.5757334</v>
      </c>
      <c r="J178">
        <f t="shared" si="18"/>
        <v>0</v>
      </c>
      <c r="K178">
        <f t="shared" si="19"/>
        <v>1682253699.5757334</v>
      </c>
      <c r="L178">
        <f t="shared" si="20"/>
        <v>6286244741.2342663</v>
      </c>
      <c r="M178">
        <f t="shared" si="21"/>
        <v>15114452563.559332</v>
      </c>
      <c r="N178">
        <f t="shared" si="22"/>
        <v>0.41590952201539122</v>
      </c>
      <c r="O178">
        <f t="shared" si="23"/>
        <v>29.374018293442219</v>
      </c>
    </row>
    <row r="179" spans="1:15">
      <c r="A179" s="8">
        <v>42537</v>
      </c>
      <c r="B179">
        <v>49.52</v>
      </c>
      <c r="C179">
        <v>50.470001000000003</v>
      </c>
      <c r="D179">
        <v>49.509998000000003</v>
      </c>
      <c r="E179">
        <v>50.389999000000003</v>
      </c>
      <c r="F179">
        <v>46.046191999999998</v>
      </c>
      <c r="G179">
        <v>31188600</v>
      </c>
      <c r="H179">
        <f t="shared" si="16"/>
        <v>50.12333266666667</v>
      </c>
      <c r="I179">
        <f t="shared" si="17"/>
        <v>1563276573.2076001</v>
      </c>
      <c r="J179">
        <f t="shared" si="18"/>
        <v>1563276573.2076001</v>
      </c>
      <c r="K179">
        <f t="shared" si="19"/>
        <v>0</v>
      </c>
      <c r="L179">
        <f t="shared" si="20"/>
        <v>7849521314.4418659</v>
      </c>
      <c r="M179">
        <f t="shared" si="21"/>
        <v>13855268198.226</v>
      </c>
      <c r="N179">
        <f t="shared" si="22"/>
        <v>0.56653694480247607</v>
      </c>
      <c r="O179">
        <f t="shared" si="23"/>
        <v>36.164927145967205</v>
      </c>
    </row>
    <row r="180" spans="1:15">
      <c r="A180" s="8">
        <v>42538</v>
      </c>
      <c r="B180">
        <v>50.41</v>
      </c>
      <c r="C180">
        <v>50.43</v>
      </c>
      <c r="D180">
        <v>49.82</v>
      </c>
      <c r="E180">
        <v>50.130001</v>
      </c>
      <c r="F180">
        <v>45.808616999999998</v>
      </c>
      <c r="G180">
        <v>45710500</v>
      </c>
      <c r="H180">
        <f t="shared" si="16"/>
        <v>50.126666999999998</v>
      </c>
      <c r="I180">
        <f t="shared" si="17"/>
        <v>2291315011.9035001</v>
      </c>
      <c r="J180">
        <f t="shared" si="18"/>
        <v>2291315011.9035001</v>
      </c>
      <c r="K180">
        <f t="shared" si="19"/>
        <v>0</v>
      </c>
      <c r="L180">
        <f t="shared" si="20"/>
        <v>9216901601.6786995</v>
      </c>
      <c r="M180">
        <f t="shared" si="21"/>
        <v>13855268198.226</v>
      </c>
      <c r="N180">
        <f t="shared" si="22"/>
        <v>0.66522722402867762</v>
      </c>
      <c r="O180">
        <f t="shared" si="23"/>
        <v>39.948135271251211</v>
      </c>
    </row>
    <row r="181" spans="1:15">
      <c r="A181" s="8">
        <v>42541</v>
      </c>
      <c r="B181">
        <v>50.639999000000003</v>
      </c>
      <c r="C181">
        <v>50.830002</v>
      </c>
      <c r="D181">
        <v>50.029998999999997</v>
      </c>
      <c r="E181">
        <v>50.07</v>
      </c>
      <c r="F181">
        <v>45.753784000000003</v>
      </c>
      <c r="G181">
        <v>35607900</v>
      </c>
      <c r="H181">
        <f t="shared" si="16"/>
        <v>50.310000333333335</v>
      </c>
      <c r="I181">
        <f t="shared" si="17"/>
        <v>1791433460.8693001</v>
      </c>
      <c r="J181">
        <f t="shared" si="18"/>
        <v>1791433460.8693001</v>
      </c>
      <c r="K181">
        <f t="shared" si="19"/>
        <v>0</v>
      </c>
      <c r="L181">
        <f t="shared" si="20"/>
        <v>9024267688.1126003</v>
      </c>
      <c r="M181">
        <f t="shared" si="21"/>
        <v>13855268198.226</v>
      </c>
      <c r="N181">
        <f t="shared" si="22"/>
        <v>0.65132392668285188</v>
      </c>
      <c r="O181">
        <f t="shared" si="23"/>
        <v>39.442529485491015</v>
      </c>
    </row>
    <row r="182" spans="1:15">
      <c r="A182" s="8">
        <v>42542</v>
      </c>
      <c r="B182">
        <v>50.200001</v>
      </c>
      <c r="C182">
        <v>51.43</v>
      </c>
      <c r="D182">
        <v>50.16</v>
      </c>
      <c r="E182">
        <v>51.189999</v>
      </c>
      <c r="F182">
        <v>46.777248</v>
      </c>
      <c r="G182">
        <v>34097800</v>
      </c>
      <c r="H182">
        <f t="shared" si="16"/>
        <v>50.926666333333337</v>
      </c>
      <c r="I182">
        <f t="shared" si="17"/>
        <v>1736487283.3007336</v>
      </c>
      <c r="J182">
        <f t="shared" si="18"/>
        <v>1736487283.3007336</v>
      </c>
      <c r="K182">
        <f t="shared" si="19"/>
        <v>0</v>
      </c>
      <c r="L182">
        <f t="shared" si="20"/>
        <v>9424956204.2965336</v>
      </c>
      <c r="M182">
        <f t="shared" si="21"/>
        <v>13855268198.226</v>
      </c>
      <c r="N182">
        <f t="shared" si="22"/>
        <v>0.68024350517468046</v>
      </c>
      <c r="O182">
        <f t="shared" si="23"/>
        <v>40.484816818498068</v>
      </c>
    </row>
    <row r="183" spans="1:15">
      <c r="A183" s="8">
        <v>42543</v>
      </c>
      <c r="B183">
        <v>51.080002</v>
      </c>
      <c r="C183">
        <v>51.459999000000003</v>
      </c>
      <c r="D183">
        <v>50.950001</v>
      </c>
      <c r="E183">
        <v>50.990001999999997</v>
      </c>
      <c r="F183">
        <v>46.594493999999997</v>
      </c>
      <c r="G183">
        <v>28816800</v>
      </c>
      <c r="H183">
        <f t="shared" si="16"/>
        <v>51.133333999999998</v>
      </c>
      <c r="I183">
        <f t="shared" si="17"/>
        <v>1473499059.2112</v>
      </c>
      <c r="J183">
        <f t="shared" si="18"/>
        <v>1473499059.2112</v>
      </c>
      <c r="K183">
        <f t="shared" si="19"/>
        <v>0</v>
      </c>
      <c r="L183">
        <f t="shared" si="20"/>
        <v>10898455263.507734</v>
      </c>
      <c r="M183">
        <f t="shared" si="21"/>
        <v>12659476166.9988</v>
      </c>
      <c r="N183">
        <f t="shared" si="22"/>
        <v>0.86089306695945589</v>
      </c>
      <c r="O183">
        <f t="shared" si="23"/>
        <v>46.262360919323719</v>
      </c>
    </row>
    <row r="184" spans="1:15">
      <c r="A184" s="8">
        <v>42544</v>
      </c>
      <c r="B184">
        <v>51.279998999999997</v>
      </c>
      <c r="C184">
        <v>52.060001</v>
      </c>
      <c r="D184">
        <v>51.150002000000001</v>
      </c>
      <c r="E184">
        <v>51.91</v>
      </c>
      <c r="F184">
        <v>47.435181</v>
      </c>
      <c r="G184">
        <v>29028800</v>
      </c>
      <c r="H184">
        <f t="shared" si="16"/>
        <v>51.706667666666668</v>
      </c>
      <c r="I184">
        <f t="shared" si="17"/>
        <v>1500982514.3621333</v>
      </c>
      <c r="J184">
        <f t="shared" si="18"/>
        <v>1500982514.3621333</v>
      </c>
      <c r="K184">
        <f t="shared" si="19"/>
        <v>0</v>
      </c>
      <c r="L184">
        <f t="shared" si="20"/>
        <v>12399437777.869867</v>
      </c>
      <c r="M184">
        <f t="shared" si="21"/>
        <v>11445804582.700434</v>
      </c>
      <c r="N184">
        <f t="shared" si="22"/>
        <v>1.08331727038314</v>
      </c>
      <c r="O184">
        <f t="shared" si="23"/>
        <v>51.999629906774047</v>
      </c>
    </row>
    <row r="185" spans="1:15">
      <c r="A185" s="8">
        <v>42545</v>
      </c>
      <c r="B185">
        <v>49.810001</v>
      </c>
      <c r="C185">
        <v>50.939999</v>
      </c>
      <c r="D185">
        <v>49.52</v>
      </c>
      <c r="E185">
        <v>49.830002</v>
      </c>
      <c r="F185">
        <v>45.534477000000003</v>
      </c>
      <c r="G185">
        <v>133503000</v>
      </c>
      <c r="H185">
        <f t="shared" si="16"/>
        <v>50.096667000000004</v>
      </c>
      <c r="I185">
        <f t="shared" si="17"/>
        <v>6688055334.5010004</v>
      </c>
      <c r="J185">
        <f t="shared" si="18"/>
        <v>0</v>
      </c>
      <c r="K185">
        <f t="shared" si="19"/>
        <v>6688055334.5010004</v>
      </c>
      <c r="L185">
        <f t="shared" si="20"/>
        <v>11448536183.032066</v>
      </c>
      <c r="M185">
        <f t="shared" si="21"/>
        <v>18133859917.201435</v>
      </c>
      <c r="N185">
        <f t="shared" si="22"/>
        <v>0.63133476465053107</v>
      </c>
      <c r="O185">
        <f t="shared" si="23"/>
        <v>38.700503313663972</v>
      </c>
    </row>
    <row r="186" spans="1:15">
      <c r="A186" s="8">
        <v>42548</v>
      </c>
      <c r="B186">
        <v>49.099997999999999</v>
      </c>
      <c r="C186">
        <v>49.150002000000001</v>
      </c>
      <c r="D186">
        <v>48.040000999999997</v>
      </c>
      <c r="E186">
        <v>48.43</v>
      </c>
      <c r="F186">
        <v>44.255161000000001</v>
      </c>
      <c r="G186">
        <v>50216300</v>
      </c>
      <c r="H186">
        <f t="shared" si="16"/>
        <v>48.540000999999997</v>
      </c>
      <c r="I186">
        <f t="shared" si="17"/>
        <v>2437499252.2163</v>
      </c>
      <c r="J186">
        <f t="shared" si="18"/>
        <v>0</v>
      </c>
      <c r="K186">
        <f t="shared" si="19"/>
        <v>2437499252.2163</v>
      </c>
      <c r="L186">
        <f t="shared" si="20"/>
        <v>10356993902.854467</v>
      </c>
      <c r="M186">
        <f t="shared" si="21"/>
        <v>20571359169.417736</v>
      </c>
      <c r="N186">
        <f t="shared" si="22"/>
        <v>0.50346667993875771</v>
      </c>
      <c r="O186">
        <f t="shared" si="23"/>
        <v>33.487052733304736</v>
      </c>
    </row>
    <row r="187" spans="1:15">
      <c r="A187" s="8">
        <v>42549</v>
      </c>
      <c r="B187">
        <v>48.919998</v>
      </c>
      <c r="C187">
        <v>49.470001000000003</v>
      </c>
      <c r="D187">
        <v>48.669998</v>
      </c>
      <c r="E187">
        <v>49.439999</v>
      </c>
      <c r="F187">
        <v>45.178097000000001</v>
      </c>
      <c r="G187">
        <v>38140700</v>
      </c>
      <c r="H187">
        <f t="shared" si="16"/>
        <v>49.193332666666663</v>
      </c>
      <c r="I187">
        <f t="shared" si="17"/>
        <v>1876268143.2395332</v>
      </c>
      <c r="J187">
        <f t="shared" si="18"/>
        <v>1876268143.2395332</v>
      </c>
      <c r="K187">
        <f t="shared" si="19"/>
        <v>0</v>
      </c>
      <c r="L187">
        <f t="shared" si="20"/>
        <v>12233262046.094</v>
      </c>
      <c r="M187">
        <f t="shared" si="21"/>
        <v>19469122946.467533</v>
      </c>
      <c r="N187">
        <f t="shared" si="22"/>
        <v>0.62834171214238477</v>
      </c>
      <c r="O187">
        <f t="shared" si="23"/>
        <v>38.587828798887983</v>
      </c>
    </row>
    <row r="188" spans="1:15">
      <c r="A188" s="8">
        <v>42550</v>
      </c>
      <c r="B188">
        <v>49.91</v>
      </c>
      <c r="C188">
        <v>50.720001000000003</v>
      </c>
      <c r="D188">
        <v>49.799999</v>
      </c>
      <c r="E188">
        <v>50.540000999999997</v>
      </c>
      <c r="F188">
        <v>46.183276999999997</v>
      </c>
      <c r="G188">
        <v>31304000</v>
      </c>
      <c r="H188">
        <f t="shared" si="16"/>
        <v>50.353333666666664</v>
      </c>
      <c r="I188">
        <f t="shared" si="17"/>
        <v>1576260757.1013331</v>
      </c>
      <c r="J188">
        <f t="shared" si="18"/>
        <v>1576260757.1013331</v>
      </c>
      <c r="K188">
        <f t="shared" si="19"/>
        <v>0</v>
      </c>
      <c r="L188">
        <f t="shared" si="20"/>
        <v>13809522803.195333</v>
      </c>
      <c r="M188">
        <f t="shared" si="21"/>
        <v>18419250564.032303</v>
      </c>
      <c r="N188">
        <f t="shared" si="22"/>
        <v>0.74973315310458444</v>
      </c>
      <c r="O188">
        <f t="shared" si="23"/>
        <v>42.848428160277976</v>
      </c>
    </row>
    <row r="189" spans="1:15">
      <c r="A189" s="8">
        <v>42551</v>
      </c>
      <c r="B189">
        <v>50.720001000000003</v>
      </c>
      <c r="C189">
        <v>51.299999</v>
      </c>
      <c r="D189">
        <v>50.5</v>
      </c>
      <c r="E189">
        <v>51.169998</v>
      </c>
      <c r="F189">
        <v>46.758965000000003</v>
      </c>
      <c r="G189">
        <v>28527800</v>
      </c>
      <c r="H189">
        <f t="shared" si="16"/>
        <v>50.989999000000005</v>
      </c>
      <c r="I189">
        <f t="shared" si="17"/>
        <v>1454632493.4722002</v>
      </c>
      <c r="J189">
        <f t="shared" si="18"/>
        <v>1454632493.4722002</v>
      </c>
      <c r="K189">
        <f t="shared" si="19"/>
        <v>0</v>
      </c>
      <c r="L189">
        <f t="shared" si="20"/>
        <v>15264155296.667534</v>
      </c>
      <c r="M189">
        <f t="shared" si="21"/>
        <v>17088237989.365635</v>
      </c>
      <c r="N189">
        <f t="shared" si="22"/>
        <v>0.89325507440654406</v>
      </c>
      <c r="O189">
        <f t="shared" si="23"/>
        <v>47.180915370663506</v>
      </c>
    </row>
    <row r="190" spans="1:15">
      <c r="A190" s="8">
        <v>42552</v>
      </c>
      <c r="B190">
        <v>51.130001</v>
      </c>
      <c r="C190">
        <v>51.720001000000003</v>
      </c>
      <c r="D190">
        <v>51.07</v>
      </c>
      <c r="E190">
        <v>51.16</v>
      </c>
      <c r="F190">
        <v>46.749820999999997</v>
      </c>
      <c r="G190">
        <v>21400400</v>
      </c>
      <c r="H190">
        <f t="shared" si="16"/>
        <v>51.316666999999995</v>
      </c>
      <c r="I190">
        <f t="shared" si="17"/>
        <v>1098197200.4668</v>
      </c>
      <c r="J190">
        <f t="shared" si="18"/>
        <v>1098197200.4668</v>
      </c>
      <c r="K190">
        <f t="shared" si="19"/>
        <v>0</v>
      </c>
      <c r="L190">
        <f t="shared" si="20"/>
        <v>16362352497.134335</v>
      </c>
      <c r="M190">
        <f t="shared" si="21"/>
        <v>12929567102.959702</v>
      </c>
      <c r="N190">
        <f t="shared" si="22"/>
        <v>1.2654988652627694</v>
      </c>
      <c r="O190">
        <f t="shared" si="23"/>
        <v>55.859611526046272</v>
      </c>
    </row>
    <row r="191" spans="1:15">
      <c r="A191" s="8">
        <v>42556</v>
      </c>
      <c r="B191">
        <v>50.830002</v>
      </c>
      <c r="C191">
        <v>51.279998999999997</v>
      </c>
      <c r="D191">
        <v>50.740001999999997</v>
      </c>
      <c r="E191">
        <v>51.169998</v>
      </c>
      <c r="F191">
        <v>46.758965000000003</v>
      </c>
      <c r="G191">
        <v>24806400</v>
      </c>
      <c r="H191">
        <f t="shared" si="16"/>
        <v>51.063333</v>
      </c>
      <c r="I191">
        <f t="shared" si="17"/>
        <v>1266697463.7312</v>
      </c>
      <c r="J191">
        <f t="shared" si="18"/>
        <v>0</v>
      </c>
      <c r="K191">
        <f t="shared" si="19"/>
        <v>1266697463.7312</v>
      </c>
      <c r="L191">
        <f t="shared" si="20"/>
        <v>16362352497.134335</v>
      </c>
      <c r="M191">
        <f t="shared" si="21"/>
        <v>12074505750.024233</v>
      </c>
      <c r="N191">
        <f t="shared" si="22"/>
        <v>1.3551157153659474</v>
      </c>
      <c r="O191">
        <f t="shared" si="23"/>
        <v>57.539241342771305</v>
      </c>
    </row>
    <row r="192" spans="1:15">
      <c r="A192" s="8">
        <v>42557</v>
      </c>
      <c r="B192">
        <v>50.779998999999997</v>
      </c>
      <c r="C192">
        <v>51.540000999999997</v>
      </c>
      <c r="D192">
        <v>50.389999000000003</v>
      </c>
      <c r="E192">
        <v>51.380001</v>
      </c>
      <c r="F192">
        <v>46.950867000000002</v>
      </c>
      <c r="G192">
        <v>28167500</v>
      </c>
      <c r="H192">
        <f t="shared" si="16"/>
        <v>51.103333666666664</v>
      </c>
      <c r="I192">
        <f t="shared" si="17"/>
        <v>1439453151.0558333</v>
      </c>
      <c r="J192">
        <f t="shared" si="18"/>
        <v>1439453151.0558333</v>
      </c>
      <c r="K192">
        <f t="shared" si="19"/>
        <v>0</v>
      </c>
      <c r="L192">
        <f t="shared" si="20"/>
        <v>17801805648.190166</v>
      </c>
      <c r="M192">
        <f t="shared" si="21"/>
        <v>10392252050.4485</v>
      </c>
      <c r="N192">
        <f t="shared" si="22"/>
        <v>1.7129882494932263</v>
      </c>
      <c r="O192">
        <f t="shared" si="23"/>
        <v>63.140275296555544</v>
      </c>
    </row>
    <row r="193" spans="1:15">
      <c r="A193" s="8">
        <v>42558</v>
      </c>
      <c r="B193">
        <v>51.419998</v>
      </c>
      <c r="C193">
        <v>51.610000999999997</v>
      </c>
      <c r="D193">
        <v>51.07</v>
      </c>
      <c r="E193">
        <v>51.380001</v>
      </c>
      <c r="F193">
        <v>46.950867000000002</v>
      </c>
      <c r="G193">
        <v>19585200</v>
      </c>
      <c r="H193">
        <f t="shared" si="16"/>
        <v>51.353333999999997</v>
      </c>
      <c r="I193">
        <f t="shared" si="17"/>
        <v>1005765317.0567999</v>
      </c>
      <c r="J193">
        <f t="shared" si="18"/>
        <v>1005765317.0567999</v>
      </c>
      <c r="K193">
        <f t="shared" si="19"/>
        <v>0</v>
      </c>
      <c r="L193">
        <f t="shared" si="20"/>
        <v>17244294392.039368</v>
      </c>
      <c r="M193">
        <f t="shared" si="21"/>
        <v>10392252050.4485</v>
      </c>
      <c r="N193">
        <f t="shared" si="22"/>
        <v>1.6593414313209573</v>
      </c>
      <c r="O193">
        <f t="shared" si="23"/>
        <v>62.396705130740713</v>
      </c>
    </row>
    <row r="194" spans="1:15">
      <c r="A194" s="8">
        <v>42559</v>
      </c>
      <c r="B194">
        <v>51.73</v>
      </c>
      <c r="C194">
        <v>52.360000999999997</v>
      </c>
      <c r="D194">
        <v>51.549999</v>
      </c>
      <c r="E194">
        <v>52.299999</v>
      </c>
      <c r="F194">
        <v>47.791556999999997</v>
      </c>
      <c r="G194">
        <v>28391000</v>
      </c>
      <c r="H194">
        <f t="shared" ref="H194:H252" si="24">(C194 + D194 + E194)/3</f>
        <v>52.069999666666661</v>
      </c>
      <c r="I194">
        <f t="shared" ref="I194:I257" si="25">H194*G194</f>
        <v>1478319360.5363331</v>
      </c>
      <c r="J194">
        <f t="shared" si="18"/>
        <v>1478319360.5363331</v>
      </c>
      <c r="K194">
        <f t="shared" si="19"/>
        <v>0</v>
      </c>
      <c r="L194">
        <f t="shared" si="20"/>
        <v>16431298740.672201</v>
      </c>
      <c r="M194">
        <f t="shared" si="21"/>
        <v>10392252050.4485</v>
      </c>
      <c r="N194">
        <f t="shared" si="22"/>
        <v>1.5811104908644968</v>
      </c>
      <c r="O194">
        <f t="shared" si="23"/>
        <v>61.256985954713322</v>
      </c>
    </row>
    <row r="195" spans="1:15">
      <c r="A195" s="8">
        <v>42562</v>
      </c>
      <c r="B195">
        <v>52.5</v>
      </c>
      <c r="C195">
        <v>52.830002</v>
      </c>
      <c r="D195">
        <v>52.470001000000003</v>
      </c>
      <c r="E195">
        <v>52.59</v>
      </c>
      <c r="F195">
        <v>48.056556999999998</v>
      </c>
      <c r="G195">
        <v>22269200</v>
      </c>
      <c r="H195">
        <f t="shared" si="24"/>
        <v>52.630001</v>
      </c>
      <c r="I195">
        <f t="shared" si="25"/>
        <v>1172028018.2692001</v>
      </c>
      <c r="J195">
        <f t="shared" ref="J195:J258" si="26">IF(H195&gt;H194,I195,0)</f>
        <v>1172028018.2692001</v>
      </c>
      <c r="K195">
        <f t="shared" ref="K195:K252" si="27">IF(H195&lt;H194,I195,0)</f>
        <v>0</v>
      </c>
      <c r="L195">
        <f t="shared" si="20"/>
        <v>15811893298.0721</v>
      </c>
      <c r="M195">
        <f t="shared" si="21"/>
        <v>10392252050.4485</v>
      </c>
      <c r="N195">
        <f t="shared" si="22"/>
        <v>1.5215078715676169</v>
      </c>
      <c r="O195">
        <f t="shared" si="23"/>
        <v>60.34119063137004</v>
      </c>
    </row>
    <row r="196" spans="1:15">
      <c r="A196" s="8">
        <v>42563</v>
      </c>
      <c r="B196">
        <v>52.939999</v>
      </c>
      <c r="C196">
        <v>53.400002000000001</v>
      </c>
      <c r="D196">
        <v>52.790000999999997</v>
      </c>
      <c r="E196">
        <v>53.209999000000003</v>
      </c>
      <c r="F196">
        <v>48.623111999999999</v>
      </c>
      <c r="G196">
        <v>27317600</v>
      </c>
      <c r="H196">
        <f t="shared" si="24"/>
        <v>53.133333999999998</v>
      </c>
      <c r="I196">
        <f t="shared" si="25"/>
        <v>1451475164.8783998</v>
      </c>
      <c r="J196">
        <f t="shared" si="26"/>
        <v>1451475164.8783998</v>
      </c>
      <c r="K196">
        <f t="shared" si="27"/>
        <v>0</v>
      </c>
      <c r="L196">
        <f t="shared" si="20"/>
        <v>15526881179.649769</v>
      </c>
      <c r="M196">
        <f t="shared" si="21"/>
        <v>10392252050.4485</v>
      </c>
      <c r="N196">
        <f t="shared" si="22"/>
        <v>1.4940824283586995</v>
      </c>
      <c r="O196">
        <f t="shared" si="23"/>
        <v>59.905094209012255</v>
      </c>
    </row>
    <row r="197" spans="1:15">
      <c r="A197" s="8">
        <v>42564</v>
      </c>
      <c r="B197">
        <v>53.560001</v>
      </c>
      <c r="C197">
        <v>53.860000999999997</v>
      </c>
      <c r="D197">
        <v>53.18</v>
      </c>
      <c r="E197">
        <v>53.509998000000003</v>
      </c>
      <c r="F197">
        <v>48.897247</v>
      </c>
      <c r="G197">
        <v>25356800</v>
      </c>
      <c r="H197">
        <f t="shared" si="24"/>
        <v>53.516666333333326</v>
      </c>
      <c r="I197">
        <f t="shared" si="25"/>
        <v>1357011404.8810666</v>
      </c>
      <c r="J197">
        <f t="shared" si="26"/>
        <v>1357011404.8810666</v>
      </c>
      <c r="K197">
        <f t="shared" si="27"/>
        <v>0</v>
      </c>
      <c r="L197">
        <f t="shared" si="20"/>
        <v>15410393525.319632</v>
      </c>
      <c r="M197">
        <f t="shared" si="21"/>
        <v>10392252050.4485</v>
      </c>
      <c r="N197">
        <f t="shared" si="22"/>
        <v>1.4828733416501925</v>
      </c>
      <c r="O197">
        <f t="shared" si="23"/>
        <v>59.724083253664084</v>
      </c>
    </row>
    <row r="198" spans="1:15">
      <c r="A198" s="8">
        <v>42565</v>
      </c>
      <c r="B198">
        <v>53.84</v>
      </c>
      <c r="C198">
        <v>53.990001999999997</v>
      </c>
      <c r="D198">
        <v>53.580002</v>
      </c>
      <c r="E198">
        <v>53.740001999999997</v>
      </c>
      <c r="F198">
        <v>49.107418000000003</v>
      </c>
      <c r="G198">
        <v>24545500</v>
      </c>
      <c r="H198">
        <f t="shared" si="24"/>
        <v>53.770001999999998</v>
      </c>
      <c r="I198">
        <f t="shared" si="25"/>
        <v>1319811584.0909998</v>
      </c>
      <c r="J198">
        <f t="shared" si="26"/>
        <v>1319811584.0909998</v>
      </c>
      <c r="K198">
        <f t="shared" si="27"/>
        <v>0</v>
      </c>
      <c r="L198">
        <f t="shared" si="20"/>
        <v>15229222595.048498</v>
      </c>
      <c r="M198">
        <f t="shared" si="21"/>
        <v>10392252050.4485</v>
      </c>
      <c r="N198">
        <f t="shared" si="22"/>
        <v>1.4654400721921721</v>
      </c>
      <c r="O198">
        <f t="shared" si="23"/>
        <v>59.439289915051987</v>
      </c>
    </row>
    <row r="199" spans="1:15">
      <c r="A199" s="8">
        <v>42566</v>
      </c>
      <c r="B199">
        <v>53.950001</v>
      </c>
      <c r="C199">
        <v>54</v>
      </c>
      <c r="D199">
        <v>53.209999000000003</v>
      </c>
      <c r="E199">
        <v>53.700001</v>
      </c>
      <c r="F199">
        <v>49.070866000000002</v>
      </c>
      <c r="G199">
        <v>32024400</v>
      </c>
      <c r="H199">
        <f t="shared" si="24"/>
        <v>53.636666666666677</v>
      </c>
      <c r="I199">
        <f t="shared" si="25"/>
        <v>1717682068.0000002</v>
      </c>
      <c r="J199">
        <f t="shared" si="26"/>
        <v>0</v>
      </c>
      <c r="K199">
        <f t="shared" si="27"/>
        <v>1717682068.0000002</v>
      </c>
      <c r="L199">
        <f t="shared" si="20"/>
        <v>15229222595.048498</v>
      </c>
      <c r="M199">
        <f t="shared" si="21"/>
        <v>5421878783.9475002</v>
      </c>
      <c r="N199">
        <f t="shared" si="22"/>
        <v>2.8088460111165707</v>
      </c>
      <c r="O199">
        <f t="shared" si="23"/>
        <v>73.745328714225224</v>
      </c>
    </row>
    <row r="200" spans="1:15">
      <c r="A200" s="8">
        <v>42569</v>
      </c>
      <c r="B200">
        <v>53.700001</v>
      </c>
      <c r="C200">
        <v>54.34</v>
      </c>
      <c r="D200">
        <v>53.549999</v>
      </c>
      <c r="E200">
        <v>53.959999000000003</v>
      </c>
      <c r="F200">
        <v>49.308456</v>
      </c>
      <c r="G200">
        <v>31433900</v>
      </c>
      <c r="H200">
        <f t="shared" si="24"/>
        <v>53.949999333333331</v>
      </c>
      <c r="I200">
        <f t="shared" si="25"/>
        <v>1695858884.0440667</v>
      </c>
      <c r="J200">
        <f t="shared" si="26"/>
        <v>1695858884.0440667</v>
      </c>
      <c r="K200">
        <f t="shared" si="27"/>
        <v>0</v>
      </c>
      <c r="L200">
        <f t="shared" si="20"/>
        <v>16925081479.092566</v>
      </c>
      <c r="M200">
        <f t="shared" si="21"/>
        <v>2984379531.7312002</v>
      </c>
      <c r="N200">
        <f t="shared" si="22"/>
        <v>5.6712228787048886</v>
      </c>
      <c r="O200">
        <f t="shared" si="23"/>
        <v>85.010244475685482</v>
      </c>
    </row>
    <row r="201" spans="1:15">
      <c r="A201" s="8">
        <v>42570</v>
      </c>
      <c r="B201">
        <v>53.709999000000003</v>
      </c>
      <c r="C201">
        <v>53.900002000000001</v>
      </c>
      <c r="D201">
        <v>52.93</v>
      </c>
      <c r="E201">
        <v>53.09</v>
      </c>
      <c r="F201">
        <v>48.513458</v>
      </c>
      <c r="G201">
        <v>53336500</v>
      </c>
      <c r="H201">
        <f t="shared" si="24"/>
        <v>53.306667333333337</v>
      </c>
      <c r="I201">
        <f t="shared" si="25"/>
        <v>2843191062.2243338</v>
      </c>
      <c r="J201">
        <f t="shared" si="26"/>
        <v>0</v>
      </c>
      <c r="K201">
        <f t="shared" si="27"/>
        <v>2843191062.2243338</v>
      </c>
      <c r="L201">
        <f t="shared" si="20"/>
        <v>15048813335.853033</v>
      </c>
      <c r="M201">
        <f t="shared" si="21"/>
        <v>5827570593.955534</v>
      </c>
      <c r="N201">
        <f t="shared" si="22"/>
        <v>2.5823476684198292</v>
      </c>
      <c r="O201">
        <f t="shared" si="23"/>
        <v>72.085344791754977</v>
      </c>
    </row>
    <row r="202" spans="1:15">
      <c r="A202" s="8">
        <v>42571</v>
      </c>
      <c r="B202">
        <v>56.150002000000001</v>
      </c>
      <c r="C202">
        <v>56.84</v>
      </c>
      <c r="D202">
        <v>55.529998999999997</v>
      </c>
      <c r="E202">
        <v>55.91</v>
      </c>
      <c r="F202">
        <v>51.090350999999998</v>
      </c>
      <c r="G202">
        <v>89893300</v>
      </c>
      <c r="H202">
        <f t="shared" si="24"/>
        <v>56.093333000000001</v>
      </c>
      <c r="I202">
        <f t="shared" si="25"/>
        <v>5042414811.3689003</v>
      </c>
      <c r="J202">
        <f t="shared" si="26"/>
        <v>5042414811.3689003</v>
      </c>
      <c r="K202">
        <f t="shared" si="27"/>
        <v>0</v>
      </c>
      <c r="L202">
        <f t="shared" si="20"/>
        <v>18514967390.120602</v>
      </c>
      <c r="M202">
        <f t="shared" si="21"/>
        <v>5827570593.955534</v>
      </c>
      <c r="N202">
        <f t="shared" si="22"/>
        <v>3.1771330937328628</v>
      </c>
      <c r="O202">
        <f t="shared" si="23"/>
        <v>76.060135562825508</v>
      </c>
    </row>
    <row r="203" spans="1:15">
      <c r="A203" s="8">
        <v>42572</v>
      </c>
      <c r="B203">
        <v>55.98</v>
      </c>
      <c r="C203">
        <v>56.23</v>
      </c>
      <c r="D203">
        <v>55.759998000000003</v>
      </c>
      <c r="E203">
        <v>55.799999</v>
      </c>
      <c r="F203">
        <v>50.989852999999997</v>
      </c>
      <c r="G203">
        <v>32776700</v>
      </c>
      <c r="H203">
        <f t="shared" si="24"/>
        <v>55.929999000000002</v>
      </c>
      <c r="I203">
        <f t="shared" si="25"/>
        <v>1833200798.2233</v>
      </c>
      <c r="J203">
        <f t="shared" si="26"/>
        <v>0</v>
      </c>
      <c r="K203">
        <f t="shared" si="27"/>
        <v>1833200798.2233</v>
      </c>
      <c r="L203">
        <f t="shared" si="20"/>
        <v>17060334896.648401</v>
      </c>
      <c r="M203">
        <f t="shared" si="21"/>
        <v>7660771392.178834</v>
      </c>
      <c r="N203">
        <f t="shared" si="22"/>
        <v>2.2269735021809853</v>
      </c>
      <c r="O203">
        <f t="shared" si="23"/>
        <v>69.011211299871562</v>
      </c>
    </row>
    <row r="204" spans="1:15">
      <c r="A204" s="8">
        <v>42573</v>
      </c>
      <c r="B204">
        <v>56.080002</v>
      </c>
      <c r="C204">
        <v>56.630001</v>
      </c>
      <c r="D204">
        <v>55.779998999999997</v>
      </c>
      <c r="E204">
        <v>56.57</v>
      </c>
      <c r="F204">
        <v>51.693474000000002</v>
      </c>
      <c r="G204">
        <v>32157200</v>
      </c>
      <c r="H204">
        <f t="shared" si="24"/>
        <v>56.326666666666661</v>
      </c>
      <c r="I204">
        <f t="shared" si="25"/>
        <v>1811307885.3333333</v>
      </c>
      <c r="J204">
        <f t="shared" si="26"/>
        <v>1811307885.3333333</v>
      </c>
      <c r="K204">
        <f t="shared" si="27"/>
        <v>0</v>
      </c>
      <c r="L204">
        <f t="shared" si="20"/>
        <v>17773445581.514935</v>
      </c>
      <c r="M204">
        <f t="shared" si="21"/>
        <v>7660771392.178834</v>
      </c>
      <c r="N204">
        <f t="shared" si="22"/>
        <v>2.3200595177217407</v>
      </c>
      <c r="O204">
        <f t="shared" si="23"/>
        <v>69.88005803323037</v>
      </c>
    </row>
    <row r="205" spans="1:15">
      <c r="A205" s="8">
        <v>42576</v>
      </c>
      <c r="B205">
        <v>56.470001000000003</v>
      </c>
      <c r="C205">
        <v>56.740001999999997</v>
      </c>
      <c r="D205">
        <v>56.259998000000003</v>
      </c>
      <c r="E205">
        <v>56.73</v>
      </c>
      <c r="F205">
        <v>51.839680000000001</v>
      </c>
      <c r="G205">
        <v>25610600</v>
      </c>
      <c r="H205">
        <f t="shared" si="24"/>
        <v>56.576666666666661</v>
      </c>
      <c r="I205">
        <f t="shared" si="25"/>
        <v>1448962379.3333333</v>
      </c>
      <c r="J205">
        <f t="shared" si="26"/>
        <v>1448962379.3333333</v>
      </c>
      <c r="K205">
        <f t="shared" si="27"/>
        <v>0</v>
      </c>
      <c r="L205">
        <f t="shared" si="20"/>
        <v>19222407960.848267</v>
      </c>
      <c r="M205">
        <f t="shared" si="21"/>
        <v>6394073928.4476337</v>
      </c>
      <c r="N205">
        <f t="shared" si="22"/>
        <v>3.0062849094263009</v>
      </c>
      <c r="O205">
        <f t="shared" si="23"/>
        <v>75.039219061851497</v>
      </c>
    </row>
    <row r="206" spans="1:15">
      <c r="A206" s="8">
        <v>42577</v>
      </c>
      <c r="B206">
        <v>56.52</v>
      </c>
      <c r="C206">
        <v>57.290000999999997</v>
      </c>
      <c r="D206">
        <v>56.509998000000003</v>
      </c>
      <c r="E206">
        <v>56.759998000000003</v>
      </c>
      <c r="F206">
        <v>51.867092</v>
      </c>
      <c r="G206">
        <v>28079000</v>
      </c>
      <c r="H206">
        <f t="shared" si="24"/>
        <v>56.853332333333334</v>
      </c>
      <c r="I206">
        <f t="shared" si="25"/>
        <v>1596384718.5876667</v>
      </c>
      <c r="J206">
        <f t="shared" si="26"/>
        <v>1596384718.5876667</v>
      </c>
      <c r="K206">
        <f t="shared" si="27"/>
        <v>0</v>
      </c>
      <c r="L206">
        <f t="shared" si="20"/>
        <v>19379339528.3801</v>
      </c>
      <c r="M206">
        <f t="shared" si="21"/>
        <v>6394073928.4476337</v>
      </c>
      <c r="N206">
        <f t="shared" si="22"/>
        <v>3.0308281926738774</v>
      </c>
      <c r="O206">
        <f t="shared" si="23"/>
        <v>75.191202596589875</v>
      </c>
    </row>
    <row r="207" spans="1:15">
      <c r="A207" s="8">
        <v>42578</v>
      </c>
      <c r="B207">
        <v>56.610000999999997</v>
      </c>
      <c r="C207">
        <v>56.799999</v>
      </c>
      <c r="D207">
        <v>56.110000999999997</v>
      </c>
      <c r="E207">
        <v>56.189999</v>
      </c>
      <c r="F207">
        <v>51.346226000000001</v>
      </c>
      <c r="G207">
        <v>32327500</v>
      </c>
      <c r="H207">
        <f t="shared" si="24"/>
        <v>56.366666333333335</v>
      </c>
      <c r="I207">
        <f t="shared" si="25"/>
        <v>1822193405.8908334</v>
      </c>
      <c r="J207">
        <f t="shared" si="26"/>
        <v>0</v>
      </c>
      <c r="K207">
        <f t="shared" si="27"/>
        <v>1822193405.8908334</v>
      </c>
      <c r="L207">
        <f t="shared" ref="L207:L270" si="28">SUM(J194:J207)</f>
        <v>18373574211.323299</v>
      </c>
      <c r="M207">
        <f t="shared" ref="M207:M270" si="29">SUM(K194:K207)</f>
        <v>8216267334.3384666</v>
      </c>
      <c r="N207">
        <f t="shared" ref="N207:N270" si="30">L207/M207</f>
        <v>2.2362434745196431</v>
      </c>
      <c r="O207">
        <f t="shared" ref="O207:O270" si="31">100-(100/(1+N207))</f>
        <v>69.099976319042852</v>
      </c>
    </row>
    <row r="208" spans="1:15">
      <c r="A208" s="8">
        <v>42579</v>
      </c>
      <c r="B208">
        <v>56</v>
      </c>
      <c r="C208">
        <v>56.369999</v>
      </c>
      <c r="D208">
        <v>55.720001000000003</v>
      </c>
      <c r="E208">
        <v>56.209999000000003</v>
      </c>
      <c r="F208">
        <v>51.364494000000001</v>
      </c>
      <c r="G208">
        <v>37550400</v>
      </c>
      <c r="H208">
        <f t="shared" si="24"/>
        <v>56.099999666666669</v>
      </c>
      <c r="I208">
        <f t="shared" si="25"/>
        <v>2106577427.4832001</v>
      </c>
      <c r="J208">
        <f t="shared" si="26"/>
        <v>0</v>
      </c>
      <c r="K208">
        <f t="shared" si="27"/>
        <v>2106577427.4832001</v>
      </c>
      <c r="L208">
        <f t="shared" si="28"/>
        <v>16895254850.786968</v>
      </c>
      <c r="M208">
        <f t="shared" si="29"/>
        <v>10322844761.821667</v>
      </c>
      <c r="N208">
        <f t="shared" si="30"/>
        <v>1.6366859369301872</v>
      </c>
      <c r="O208">
        <f t="shared" si="31"/>
        <v>62.073602092926187</v>
      </c>
    </row>
    <row r="209" spans="1:15">
      <c r="A209" s="8">
        <v>42580</v>
      </c>
      <c r="B209">
        <v>56.259998000000003</v>
      </c>
      <c r="C209">
        <v>56.759998000000003</v>
      </c>
      <c r="D209">
        <v>56.049999</v>
      </c>
      <c r="E209">
        <v>56.68</v>
      </c>
      <c r="F209">
        <v>51.793990999999998</v>
      </c>
      <c r="G209">
        <v>30558700</v>
      </c>
      <c r="H209">
        <f t="shared" si="24"/>
        <v>56.496665666666672</v>
      </c>
      <c r="I209">
        <f t="shared" si="25"/>
        <v>1726464657.1079669</v>
      </c>
      <c r="J209">
        <f t="shared" si="26"/>
        <v>1726464657.1079669</v>
      </c>
      <c r="K209">
        <f t="shared" si="27"/>
        <v>0</v>
      </c>
      <c r="L209">
        <f t="shared" si="28"/>
        <v>17449691489.625732</v>
      </c>
      <c r="M209">
        <f t="shared" si="29"/>
        <v>10322844761.821667</v>
      </c>
      <c r="N209">
        <f t="shared" si="30"/>
        <v>1.6903956120857517</v>
      </c>
      <c r="O209">
        <f t="shared" si="31"/>
        <v>62.830745206845556</v>
      </c>
    </row>
    <row r="210" spans="1:15">
      <c r="A210" s="8">
        <v>42583</v>
      </c>
      <c r="B210">
        <v>56.599997999999999</v>
      </c>
      <c r="C210">
        <v>56.75</v>
      </c>
      <c r="D210">
        <v>56.139999000000003</v>
      </c>
      <c r="E210">
        <v>56.580002</v>
      </c>
      <c r="F210">
        <v>51.70261</v>
      </c>
      <c r="G210">
        <v>26003400</v>
      </c>
      <c r="H210">
        <f t="shared" si="24"/>
        <v>56.490000333333334</v>
      </c>
      <c r="I210">
        <f t="shared" si="25"/>
        <v>1468932074.6677999</v>
      </c>
      <c r="J210">
        <f t="shared" si="26"/>
        <v>0</v>
      </c>
      <c r="K210">
        <f t="shared" si="27"/>
        <v>1468932074.6677999</v>
      </c>
      <c r="L210">
        <f t="shared" si="28"/>
        <v>15998216324.747335</v>
      </c>
      <c r="M210">
        <f t="shared" si="29"/>
        <v>11791776836.489468</v>
      </c>
      <c r="N210">
        <f t="shared" si="30"/>
        <v>1.356726517689947</v>
      </c>
      <c r="O210">
        <f t="shared" si="31"/>
        <v>57.568262906457399</v>
      </c>
    </row>
    <row r="211" spans="1:15">
      <c r="A211" s="8">
        <v>42584</v>
      </c>
      <c r="B211">
        <v>56.849997999999999</v>
      </c>
      <c r="C211">
        <v>56.900002000000001</v>
      </c>
      <c r="D211">
        <v>56.310001</v>
      </c>
      <c r="E211">
        <v>56.580002</v>
      </c>
      <c r="F211">
        <v>51.70261</v>
      </c>
      <c r="G211">
        <v>35122000</v>
      </c>
      <c r="H211">
        <f t="shared" si="24"/>
        <v>56.596668333333334</v>
      </c>
      <c r="I211">
        <f t="shared" si="25"/>
        <v>1987788185.2033334</v>
      </c>
      <c r="J211">
        <f t="shared" si="26"/>
        <v>1987788185.2033334</v>
      </c>
      <c r="K211">
        <f t="shared" si="27"/>
        <v>0</v>
      </c>
      <c r="L211">
        <f t="shared" si="28"/>
        <v>16628993105.069603</v>
      </c>
      <c r="M211">
        <f t="shared" si="29"/>
        <v>11791776836.489468</v>
      </c>
      <c r="N211">
        <f t="shared" si="30"/>
        <v>1.4102194551046323</v>
      </c>
      <c r="O211">
        <f t="shared" si="31"/>
        <v>58.510002154281501</v>
      </c>
    </row>
    <row r="212" spans="1:15">
      <c r="A212" s="8">
        <v>42585</v>
      </c>
      <c r="B212">
        <v>56.68</v>
      </c>
      <c r="C212">
        <v>57.110000999999997</v>
      </c>
      <c r="D212">
        <v>56.490001999999997</v>
      </c>
      <c r="E212">
        <v>56.970001000000003</v>
      </c>
      <c r="F212">
        <v>52.058990000000001</v>
      </c>
      <c r="G212">
        <v>22075600</v>
      </c>
      <c r="H212">
        <f t="shared" si="24"/>
        <v>56.856667999999992</v>
      </c>
      <c r="I212">
        <f t="shared" si="25"/>
        <v>1255145060.1007998</v>
      </c>
      <c r="J212">
        <f t="shared" si="26"/>
        <v>1255145060.1007998</v>
      </c>
      <c r="K212">
        <f t="shared" si="27"/>
        <v>0</v>
      </c>
      <c r="L212">
        <f t="shared" si="28"/>
        <v>16564326581.079401</v>
      </c>
      <c r="M212">
        <f t="shared" si="29"/>
        <v>11791776836.489468</v>
      </c>
      <c r="N212">
        <f t="shared" si="30"/>
        <v>1.4047354195019492</v>
      </c>
      <c r="O212">
        <f t="shared" si="31"/>
        <v>58.415383584813981</v>
      </c>
    </row>
    <row r="213" spans="1:15">
      <c r="A213" s="8">
        <v>42586</v>
      </c>
      <c r="B213">
        <v>56.799999</v>
      </c>
      <c r="C213">
        <v>57.52</v>
      </c>
      <c r="D213">
        <v>56.669998</v>
      </c>
      <c r="E213">
        <v>57.389999000000003</v>
      </c>
      <c r="F213">
        <v>52.442779999999999</v>
      </c>
      <c r="G213">
        <v>26587700</v>
      </c>
      <c r="H213">
        <f t="shared" si="24"/>
        <v>57.193332333333331</v>
      </c>
      <c r="I213">
        <f t="shared" si="25"/>
        <v>1520639162.0789666</v>
      </c>
      <c r="J213">
        <f t="shared" si="26"/>
        <v>1520639162.0789666</v>
      </c>
      <c r="K213">
        <f t="shared" si="27"/>
        <v>0</v>
      </c>
      <c r="L213">
        <f t="shared" si="28"/>
        <v>18084965743.158367</v>
      </c>
      <c r="M213">
        <f t="shared" si="29"/>
        <v>10074094768.489468</v>
      </c>
      <c r="N213">
        <f t="shared" si="30"/>
        <v>1.79519511765225</v>
      </c>
      <c r="O213">
        <f t="shared" si="31"/>
        <v>64.224322170399205</v>
      </c>
    </row>
    <row r="214" spans="1:15">
      <c r="A214" s="8">
        <v>42587</v>
      </c>
      <c r="B214">
        <v>57.650002000000001</v>
      </c>
      <c r="C214">
        <v>58.209999000000003</v>
      </c>
      <c r="D214">
        <v>57.450001</v>
      </c>
      <c r="E214">
        <v>57.959999000000003</v>
      </c>
      <c r="F214">
        <v>52.963650000000001</v>
      </c>
      <c r="G214">
        <v>29335200</v>
      </c>
      <c r="H214">
        <f t="shared" si="24"/>
        <v>57.873333000000002</v>
      </c>
      <c r="I214">
        <f t="shared" si="25"/>
        <v>1697725798.2216001</v>
      </c>
      <c r="J214">
        <f t="shared" si="26"/>
        <v>1697725798.2216001</v>
      </c>
      <c r="K214">
        <f t="shared" si="27"/>
        <v>0</v>
      </c>
      <c r="L214">
        <f t="shared" si="28"/>
        <v>18086832657.335899</v>
      </c>
      <c r="M214">
        <f t="shared" si="29"/>
        <v>10074094768.489468</v>
      </c>
      <c r="N214">
        <f t="shared" si="30"/>
        <v>1.795380435958305</v>
      </c>
      <c r="O214">
        <f t="shared" si="31"/>
        <v>64.226693900532268</v>
      </c>
    </row>
    <row r="215" spans="1:15">
      <c r="A215" s="8">
        <v>42590</v>
      </c>
      <c r="B215">
        <v>58.060001</v>
      </c>
      <c r="C215">
        <v>58.09</v>
      </c>
      <c r="D215">
        <v>57.779998999999997</v>
      </c>
      <c r="E215">
        <v>58.060001</v>
      </c>
      <c r="F215">
        <v>53.055019000000001</v>
      </c>
      <c r="G215">
        <v>19473500</v>
      </c>
      <c r="H215">
        <f t="shared" si="24"/>
        <v>57.976666666666667</v>
      </c>
      <c r="I215">
        <f t="shared" si="25"/>
        <v>1129008618.3333333</v>
      </c>
      <c r="J215">
        <f t="shared" si="26"/>
        <v>1129008618.3333333</v>
      </c>
      <c r="K215">
        <f t="shared" si="27"/>
        <v>0</v>
      </c>
      <c r="L215">
        <f t="shared" si="28"/>
        <v>19215841275.669231</v>
      </c>
      <c r="M215">
        <f t="shared" si="29"/>
        <v>7230903706.2651339</v>
      </c>
      <c r="N215">
        <f t="shared" si="30"/>
        <v>2.6574605410690073</v>
      </c>
      <c r="O215">
        <f t="shared" si="31"/>
        <v>72.658625054975474</v>
      </c>
    </row>
    <row r="216" spans="1:15">
      <c r="A216" s="8">
        <v>42591</v>
      </c>
      <c r="B216">
        <v>58.169998</v>
      </c>
      <c r="C216">
        <v>58.5</v>
      </c>
      <c r="D216">
        <v>58.02</v>
      </c>
      <c r="E216">
        <v>58.200001</v>
      </c>
      <c r="F216">
        <v>53.182952999999998</v>
      </c>
      <c r="G216">
        <v>16920700</v>
      </c>
      <c r="H216">
        <f t="shared" si="24"/>
        <v>58.240000333333342</v>
      </c>
      <c r="I216">
        <f t="shared" si="25"/>
        <v>985461573.64023352</v>
      </c>
      <c r="J216">
        <f t="shared" si="26"/>
        <v>985461573.64023352</v>
      </c>
      <c r="K216">
        <f t="shared" si="27"/>
        <v>0</v>
      </c>
      <c r="L216">
        <f t="shared" si="28"/>
        <v>15158888037.940567</v>
      </c>
      <c r="M216">
        <f t="shared" si="29"/>
        <v>7230903706.2651339</v>
      </c>
      <c r="N216">
        <f t="shared" si="30"/>
        <v>2.0964029744727926</v>
      </c>
      <c r="O216">
        <f t="shared" si="31"/>
        <v>67.704461975907236</v>
      </c>
    </row>
    <row r="217" spans="1:15">
      <c r="A217" s="8">
        <v>42592</v>
      </c>
      <c r="B217">
        <v>58.16</v>
      </c>
      <c r="C217">
        <v>58.32</v>
      </c>
      <c r="D217">
        <v>57.82</v>
      </c>
      <c r="E217">
        <v>58.02</v>
      </c>
      <c r="F217">
        <v>53.018467000000001</v>
      </c>
      <c r="G217">
        <v>15756900</v>
      </c>
      <c r="H217">
        <f t="shared" si="24"/>
        <v>58.053333333333335</v>
      </c>
      <c r="I217">
        <f t="shared" si="25"/>
        <v>914740568</v>
      </c>
      <c r="J217">
        <f t="shared" si="26"/>
        <v>0</v>
      </c>
      <c r="K217">
        <f t="shared" si="27"/>
        <v>914740568</v>
      </c>
      <c r="L217">
        <f t="shared" si="28"/>
        <v>15158888037.940567</v>
      </c>
      <c r="M217">
        <f t="shared" si="29"/>
        <v>6312443476.0418339</v>
      </c>
      <c r="N217">
        <f t="shared" si="30"/>
        <v>2.4014295091075928</v>
      </c>
      <c r="O217">
        <f t="shared" si="31"/>
        <v>70.600596092836199</v>
      </c>
    </row>
    <row r="218" spans="1:15">
      <c r="A218" s="8">
        <v>42593</v>
      </c>
      <c r="B218">
        <v>58.029998999999997</v>
      </c>
      <c r="C218">
        <v>58.450001</v>
      </c>
      <c r="D218">
        <v>58.029998999999997</v>
      </c>
      <c r="E218">
        <v>58.299999</v>
      </c>
      <c r="F218">
        <v>53.274338</v>
      </c>
      <c r="G218">
        <v>18162300</v>
      </c>
      <c r="H218">
        <f t="shared" si="24"/>
        <v>58.259999666666658</v>
      </c>
      <c r="I218">
        <f t="shared" si="25"/>
        <v>1058135591.9458998</v>
      </c>
      <c r="J218">
        <f t="shared" si="26"/>
        <v>1058135591.9458998</v>
      </c>
      <c r="K218">
        <f t="shared" si="27"/>
        <v>0</v>
      </c>
      <c r="L218">
        <f t="shared" si="28"/>
        <v>14405715744.553133</v>
      </c>
      <c r="M218">
        <f t="shared" si="29"/>
        <v>6312443476.0418339</v>
      </c>
      <c r="N218">
        <f t="shared" si="30"/>
        <v>2.2821140180071948</v>
      </c>
      <c r="O218">
        <f t="shared" si="31"/>
        <v>69.531832394805974</v>
      </c>
    </row>
    <row r="219" spans="1:15">
      <c r="A219" s="8">
        <v>42594</v>
      </c>
      <c r="B219">
        <v>58.029998999999997</v>
      </c>
      <c r="C219">
        <v>58.189999</v>
      </c>
      <c r="D219">
        <v>57.619999</v>
      </c>
      <c r="E219">
        <v>57.939999</v>
      </c>
      <c r="F219">
        <v>52.945369999999997</v>
      </c>
      <c r="G219">
        <v>21655200</v>
      </c>
      <c r="H219">
        <f t="shared" si="24"/>
        <v>57.916665666666667</v>
      </c>
      <c r="I219">
        <f t="shared" si="25"/>
        <v>1254196978.3448</v>
      </c>
      <c r="J219">
        <f t="shared" si="26"/>
        <v>0</v>
      </c>
      <c r="K219">
        <f t="shared" si="27"/>
        <v>1254196978.3448</v>
      </c>
      <c r="L219">
        <f t="shared" si="28"/>
        <v>12956753365.219801</v>
      </c>
      <c r="M219">
        <f t="shared" si="29"/>
        <v>7566640454.3866339</v>
      </c>
      <c r="N219">
        <f t="shared" si="30"/>
        <v>1.7123521916134312</v>
      </c>
      <c r="O219">
        <f t="shared" si="31"/>
        <v>63.131631537674529</v>
      </c>
    </row>
    <row r="220" spans="1:15">
      <c r="A220" s="8">
        <v>42597</v>
      </c>
      <c r="B220">
        <v>58.009998000000003</v>
      </c>
      <c r="C220">
        <v>58.5</v>
      </c>
      <c r="D220">
        <v>57.959999000000003</v>
      </c>
      <c r="E220">
        <v>58.119999</v>
      </c>
      <c r="F220">
        <v>53.109856000000001</v>
      </c>
      <c r="G220">
        <v>19283900</v>
      </c>
      <c r="H220">
        <f t="shared" si="24"/>
        <v>58.19333266666667</v>
      </c>
      <c r="I220">
        <f t="shared" si="25"/>
        <v>1122194407.8107333</v>
      </c>
      <c r="J220">
        <f t="shared" si="26"/>
        <v>1122194407.8107333</v>
      </c>
      <c r="K220">
        <f t="shared" si="27"/>
        <v>0</v>
      </c>
      <c r="L220">
        <f t="shared" si="28"/>
        <v>12482563054.442867</v>
      </c>
      <c r="M220">
        <f t="shared" si="29"/>
        <v>7566640454.3866339</v>
      </c>
      <c r="N220">
        <f t="shared" si="30"/>
        <v>1.6496836515082871</v>
      </c>
      <c r="O220">
        <f t="shared" si="31"/>
        <v>62.259645621062454</v>
      </c>
    </row>
    <row r="221" spans="1:15">
      <c r="A221" s="8">
        <v>42598</v>
      </c>
      <c r="B221">
        <v>57.610000999999997</v>
      </c>
      <c r="C221">
        <v>57.619999</v>
      </c>
      <c r="D221">
        <v>57.27</v>
      </c>
      <c r="E221">
        <v>57.439999</v>
      </c>
      <c r="F221">
        <v>52.815620000000003</v>
      </c>
      <c r="G221">
        <v>20523500</v>
      </c>
      <c r="H221">
        <f t="shared" si="24"/>
        <v>57.443332666666663</v>
      </c>
      <c r="I221">
        <f t="shared" si="25"/>
        <v>1178938237.9843333</v>
      </c>
      <c r="J221">
        <f t="shared" si="26"/>
        <v>0</v>
      </c>
      <c r="K221">
        <f t="shared" si="27"/>
        <v>1178938237.9843333</v>
      </c>
      <c r="L221">
        <f t="shared" si="28"/>
        <v>12482563054.442867</v>
      </c>
      <c r="M221">
        <f t="shared" si="29"/>
        <v>6923385286.4801331</v>
      </c>
      <c r="N221">
        <f t="shared" si="30"/>
        <v>1.8029565794667819</v>
      </c>
      <c r="O221">
        <f t="shared" si="31"/>
        <v>64.323385980162627</v>
      </c>
    </row>
    <row r="222" spans="1:15">
      <c r="A222" s="8">
        <v>42599</v>
      </c>
      <c r="B222">
        <v>57.540000999999997</v>
      </c>
      <c r="C222">
        <v>57.68</v>
      </c>
      <c r="D222">
        <v>57.23</v>
      </c>
      <c r="E222">
        <v>57.560001</v>
      </c>
      <c r="F222">
        <v>52.925953</v>
      </c>
      <c r="G222">
        <v>18856400</v>
      </c>
      <c r="H222">
        <f t="shared" si="24"/>
        <v>57.490000333333334</v>
      </c>
      <c r="I222">
        <f t="shared" si="25"/>
        <v>1084054442.2854667</v>
      </c>
      <c r="J222">
        <f t="shared" si="26"/>
        <v>1084054442.2854667</v>
      </c>
      <c r="K222">
        <f t="shared" si="27"/>
        <v>0</v>
      </c>
      <c r="L222">
        <f t="shared" si="28"/>
        <v>13566617496.728334</v>
      </c>
      <c r="M222">
        <f t="shared" si="29"/>
        <v>4816807858.996933</v>
      </c>
      <c r="N222">
        <f t="shared" si="30"/>
        <v>2.8165162269008359</v>
      </c>
      <c r="O222">
        <f t="shared" si="31"/>
        <v>73.798093849268398</v>
      </c>
    </row>
    <row r="223" spans="1:15">
      <c r="A223" s="8">
        <v>42600</v>
      </c>
      <c r="B223">
        <v>57.419998</v>
      </c>
      <c r="C223">
        <v>57.700001</v>
      </c>
      <c r="D223">
        <v>57.27</v>
      </c>
      <c r="E223">
        <v>57.599997999999999</v>
      </c>
      <c r="F223">
        <v>52.962733999999998</v>
      </c>
      <c r="G223">
        <v>14214300</v>
      </c>
      <c r="H223">
        <f t="shared" si="24"/>
        <v>57.523333000000001</v>
      </c>
      <c r="I223">
        <f t="shared" si="25"/>
        <v>817653912.26190007</v>
      </c>
      <c r="J223">
        <f t="shared" si="26"/>
        <v>817653912.26190007</v>
      </c>
      <c r="K223">
        <f t="shared" si="27"/>
        <v>0</v>
      </c>
      <c r="L223">
        <f t="shared" si="28"/>
        <v>12657806751.882267</v>
      </c>
      <c r="M223">
        <f t="shared" si="29"/>
        <v>4816807858.996933</v>
      </c>
      <c r="N223">
        <f t="shared" si="30"/>
        <v>2.627841326126338</v>
      </c>
      <c r="O223">
        <f t="shared" si="31"/>
        <v>72.43539862677072</v>
      </c>
    </row>
    <row r="224" spans="1:15">
      <c r="A224" s="8">
        <v>42601</v>
      </c>
      <c r="B224">
        <v>57.43</v>
      </c>
      <c r="C224">
        <v>57.73</v>
      </c>
      <c r="D224">
        <v>57.200001</v>
      </c>
      <c r="E224">
        <v>57.619999</v>
      </c>
      <c r="F224">
        <v>52.981116999999998</v>
      </c>
      <c r="G224">
        <v>17271000</v>
      </c>
      <c r="H224">
        <f t="shared" si="24"/>
        <v>57.516666666666673</v>
      </c>
      <c r="I224">
        <f t="shared" si="25"/>
        <v>993370350.00000012</v>
      </c>
      <c r="J224">
        <f t="shared" si="26"/>
        <v>0</v>
      </c>
      <c r="K224">
        <f t="shared" si="27"/>
        <v>993370350.00000012</v>
      </c>
      <c r="L224">
        <f t="shared" si="28"/>
        <v>12657806751.882267</v>
      </c>
      <c r="M224">
        <f t="shared" si="29"/>
        <v>4341246134.329133</v>
      </c>
      <c r="N224">
        <f t="shared" si="30"/>
        <v>2.915708153884327</v>
      </c>
      <c r="O224">
        <f t="shared" si="31"/>
        <v>74.461835236417855</v>
      </c>
    </row>
    <row r="225" spans="1:15">
      <c r="A225" s="8">
        <v>42604</v>
      </c>
      <c r="B225">
        <v>57.599997999999999</v>
      </c>
      <c r="C225">
        <v>57.75</v>
      </c>
      <c r="D225">
        <v>57.259998000000003</v>
      </c>
      <c r="E225">
        <v>57.669998</v>
      </c>
      <c r="F225">
        <v>53.027102999999997</v>
      </c>
      <c r="G225">
        <v>15221900</v>
      </c>
      <c r="H225">
        <f t="shared" si="24"/>
        <v>57.559998666666665</v>
      </c>
      <c r="I225">
        <f t="shared" si="25"/>
        <v>876172543.70413327</v>
      </c>
      <c r="J225">
        <f t="shared" si="26"/>
        <v>876172543.70413327</v>
      </c>
      <c r="K225">
        <f t="shared" si="27"/>
        <v>0</v>
      </c>
      <c r="L225">
        <f t="shared" si="28"/>
        <v>11546191110.383068</v>
      </c>
      <c r="M225">
        <f t="shared" si="29"/>
        <v>4341246134.329133</v>
      </c>
      <c r="N225">
        <f t="shared" si="30"/>
        <v>2.6596490392653904</v>
      </c>
      <c r="O225">
        <f t="shared" si="31"/>
        <v>72.674975406911358</v>
      </c>
    </row>
    <row r="226" spans="1:15">
      <c r="A226" s="8">
        <v>42605</v>
      </c>
      <c r="B226">
        <v>57.900002000000001</v>
      </c>
      <c r="C226">
        <v>58.18</v>
      </c>
      <c r="D226">
        <v>57.849997999999999</v>
      </c>
      <c r="E226">
        <v>57.889999000000003</v>
      </c>
      <c r="F226">
        <v>53.229377999999997</v>
      </c>
      <c r="G226">
        <v>18732400</v>
      </c>
      <c r="H226">
        <f t="shared" si="24"/>
        <v>57.973332333333339</v>
      </c>
      <c r="I226">
        <f t="shared" si="25"/>
        <v>1085979650.6009336</v>
      </c>
      <c r="J226">
        <f t="shared" si="26"/>
        <v>1085979650.6009336</v>
      </c>
      <c r="K226">
        <f t="shared" si="27"/>
        <v>0</v>
      </c>
      <c r="L226">
        <f t="shared" si="28"/>
        <v>11377025700.883202</v>
      </c>
      <c r="M226">
        <f t="shared" si="29"/>
        <v>4341246134.329133</v>
      </c>
      <c r="N226">
        <f t="shared" si="30"/>
        <v>2.6206820228223089</v>
      </c>
      <c r="O226">
        <f t="shared" si="31"/>
        <v>72.380894160363098</v>
      </c>
    </row>
    <row r="227" spans="1:15">
      <c r="A227" s="8">
        <v>42606</v>
      </c>
      <c r="B227">
        <v>57.799999</v>
      </c>
      <c r="C227">
        <v>58.040000999999997</v>
      </c>
      <c r="D227">
        <v>57.720001000000003</v>
      </c>
      <c r="E227">
        <v>57.950001</v>
      </c>
      <c r="F227">
        <v>53.284560999999997</v>
      </c>
      <c r="G227">
        <v>18151500</v>
      </c>
      <c r="H227">
        <f t="shared" si="24"/>
        <v>57.903334333333333</v>
      </c>
      <c r="I227">
        <f t="shared" si="25"/>
        <v>1051032373.1515</v>
      </c>
      <c r="J227">
        <f t="shared" si="26"/>
        <v>0</v>
      </c>
      <c r="K227">
        <f t="shared" si="27"/>
        <v>1051032373.1515</v>
      </c>
      <c r="L227">
        <f t="shared" si="28"/>
        <v>9856386538.8042336</v>
      </c>
      <c r="M227">
        <f t="shared" si="29"/>
        <v>5392278507.4806328</v>
      </c>
      <c r="N227">
        <f t="shared" si="30"/>
        <v>1.8278704494084654</v>
      </c>
      <c r="O227">
        <f t="shared" si="31"/>
        <v>64.637701129159566</v>
      </c>
    </row>
    <row r="228" spans="1:15">
      <c r="A228" s="8">
        <v>42607</v>
      </c>
      <c r="B228">
        <v>57.880001</v>
      </c>
      <c r="C228">
        <v>58.290000999999997</v>
      </c>
      <c r="D228">
        <v>57.779998999999997</v>
      </c>
      <c r="E228">
        <v>58.169998</v>
      </c>
      <c r="F228">
        <v>53.486843</v>
      </c>
      <c r="G228">
        <v>18552600</v>
      </c>
      <c r="H228">
        <f t="shared" si="24"/>
        <v>58.079999333333326</v>
      </c>
      <c r="I228">
        <f t="shared" si="25"/>
        <v>1077534995.6315999</v>
      </c>
      <c r="J228">
        <f t="shared" si="26"/>
        <v>1077534995.6315999</v>
      </c>
      <c r="K228">
        <f t="shared" si="27"/>
        <v>0</v>
      </c>
      <c r="L228">
        <f t="shared" si="28"/>
        <v>9236195736.2142334</v>
      </c>
      <c r="M228">
        <f t="shared" si="29"/>
        <v>5392278507.4806328</v>
      </c>
      <c r="N228">
        <f t="shared" si="30"/>
        <v>1.7128558406990639</v>
      </c>
      <c r="O228">
        <f t="shared" si="31"/>
        <v>63.13847625083114</v>
      </c>
    </row>
    <row r="229" spans="1:15">
      <c r="A229" s="8">
        <v>42608</v>
      </c>
      <c r="B229">
        <v>58.279998999999997</v>
      </c>
      <c r="C229">
        <v>58.700001</v>
      </c>
      <c r="D229">
        <v>57.689999</v>
      </c>
      <c r="E229">
        <v>58.029998999999997</v>
      </c>
      <c r="F229">
        <v>53.358108999999999</v>
      </c>
      <c r="G229">
        <v>20971200</v>
      </c>
      <c r="H229">
        <f t="shared" si="24"/>
        <v>58.139999666666661</v>
      </c>
      <c r="I229">
        <f t="shared" si="25"/>
        <v>1219265561.0095999</v>
      </c>
      <c r="J229">
        <f t="shared" si="26"/>
        <v>1219265561.0095999</v>
      </c>
      <c r="K229">
        <f t="shared" si="27"/>
        <v>0</v>
      </c>
      <c r="L229">
        <f t="shared" si="28"/>
        <v>9326452678.8904991</v>
      </c>
      <c r="M229">
        <f t="shared" si="29"/>
        <v>5392278507.4806328</v>
      </c>
      <c r="N229">
        <f t="shared" si="30"/>
        <v>1.7295940233710188</v>
      </c>
      <c r="O229">
        <f t="shared" si="31"/>
        <v>63.3645153294624</v>
      </c>
    </row>
    <row r="230" spans="1:15">
      <c r="A230" s="8">
        <v>42611</v>
      </c>
      <c r="B230">
        <v>58.18</v>
      </c>
      <c r="C230">
        <v>58.599997999999999</v>
      </c>
      <c r="D230">
        <v>58.099997999999999</v>
      </c>
      <c r="E230">
        <v>58.099997999999999</v>
      </c>
      <c r="F230">
        <v>53.422469999999997</v>
      </c>
      <c r="G230">
        <v>16417200</v>
      </c>
      <c r="H230">
        <f t="shared" si="24"/>
        <v>58.266664666666664</v>
      </c>
      <c r="I230">
        <f t="shared" si="25"/>
        <v>956575487.16559994</v>
      </c>
      <c r="J230">
        <f t="shared" si="26"/>
        <v>956575487.16559994</v>
      </c>
      <c r="K230">
        <f t="shared" si="27"/>
        <v>0</v>
      </c>
      <c r="L230">
        <f t="shared" si="28"/>
        <v>9297566592.4158649</v>
      </c>
      <c r="M230">
        <f t="shared" si="29"/>
        <v>5392278507.4806328</v>
      </c>
      <c r="N230">
        <f t="shared" si="30"/>
        <v>1.7242370881840543</v>
      </c>
      <c r="O230">
        <f t="shared" si="31"/>
        <v>63.292475374579503</v>
      </c>
    </row>
    <row r="231" spans="1:15">
      <c r="A231" s="8">
        <v>42612</v>
      </c>
      <c r="B231">
        <v>57.98</v>
      </c>
      <c r="C231">
        <v>58.189999</v>
      </c>
      <c r="D231">
        <v>57.610000999999997</v>
      </c>
      <c r="E231">
        <v>57.889999000000003</v>
      </c>
      <c r="F231">
        <v>53.229377999999997</v>
      </c>
      <c r="G231">
        <v>16930200</v>
      </c>
      <c r="H231">
        <f t="shared" si="24"/>
        <v>57.896666333333336</v>
      </c>
      <c r="I231">
        <f t="shared" si="25"/>
        <v>980202140.35660005</v>
      </c>
      <c r="J231">
        <f t="shared" si="26"/>
        <v>0</v>
      </c>
      <c r="K231">
        <f t="shared" si="27"/>
        <v>980202140.35660005</v>
      </c>
      <c r="L231">
        <f t="shared" si="28"/>
        <v>9297566592.4158649</v>
      </c>
      <c r="M231">
        <f t="shared" si="29"/>
        <v>5457740079.8372326</v>
      </c>
      <c r="N231">
        <f t="shared" si="30"/>
        <v>1.7035561342989327</v>
      </c>
      <c r="O231">
        <f t="shared" si="31"/>
        <v>63.01167979042858</v>
      </c>
    </row>
    <row r="232" spans="1:15">
      <c r="A232" s="8">
        <v>42613</v>
      </c>
      <c r="B232">
        <v>57.650002000000001</v>
      </c>
      <c r="C232">
        <v>57.799999</v>
      </c>
      <c r="D232">
        <v>57.299999</v>
      </c>
      <c r="E232">
        <v>57.459999000000003</v>
      </c>
      <c r="F232">
        <v>52.834007</v>
      </c>
      <c r="G232">
        <v>20860300</v>
      </c>
      <c r="H232">
        <f t="shared" si="24"/>
        <v>57.519999000000006</v>
      </c>
      <c r="I232">
        <f t="shared" si="25"/>
        <v>1199884435.1397002</v>
      </c>
      <c r="J232">
        <f t="shared" si="26"/>
        <v>0</v>
      </c>
      <c r="K232">
        <f t="shared" si="27"/>
        <v>1199884435.1397002</v>
      </c>
      <c r="L232">
        <f t="shared" si="28"/>
        <v>8239431000.469965</v>
      </c>
      <c r="M232">
        <f t="shared" si="29"/>
        <v>6657624514.9769325</v>
      </c>
      <c r="N232">
        <f t="shared" si="30"/>
        <v>1.2375932259223412</v>
      </c>
      <c r="O232">
        <f t="shared" si="31"/>
        <v>55.309124624838923</v>
      </c>
    </row>
    <row r="233" spans="1:15">
      <c r="A233" s="8">
        <v>42614</v>
      </c>
      <c r="B233">
        <v>57.009998000000003</v>
      </c>
      <c r="C233">
        <v>57.82</v>
      </c>
      <c r="D233">
        <v>57.009998000000003</v>
      </c>
      <c r="E233">
        <v>57.59</v>
      </c>
      <c r="F233">
        <v>52.953525999999997</v>
      </c>
      <c r="G233">
        <v>26075400</v>
      </c>
      <c r="H233">
        <f t="shared" si="24"/>
        <v>57.473332666666671</v>
      </c>
      <c r="I233">
        <f t="shared" si="25"/>
        <v>1498640138.6164</v>
      </c>
      <c r="J233">
        <f t="shared" si="26"/>
        <v>0</v>
      </c>
      <c r="K233">
        <f t="shared" si="27"/>
        <v>1498640138.6164</v>
      </c>
      <c r="L233">
        <f t="shared" si="28"/>
        <v>8239431000.469965</v>
      </c>
      <c r="M233">
        <f t="shared" si="29"/>
        <v>6902067675.2485332</v>
      </c>
      <c r="N233">
        <f t="shared" si="30"/>
        <v>1.1937627082413786</v>
      </c>
      <c r="O233">
        <f t="shared" si="31"/>
        <v>54.416218479634651</v>
      </c>
    </row>
    <row r="234" spans="1:15">
      <c r="A234" s="8">
        <v>42615</v>
      </c>
      <c r="B234">
        <v>57.669998</v>
      </c>
      <c r="C234">
        <v>58.189999</v>
      </c>
      <c r="D234">
        <v>57.419998</v>
      </c>
      <c r="E234">
        <v>57.669998</v>
      </c>
      <c r="F234">
        <v>53.027102999999997</v>
      </c>
      <c r="G234">
        <v>18900500</v>
      </c>
      <c r="H234">
        <f t="shared" si="24"/>
        <v>57.759998333333328</v>
      </c>
      <c r="I234">
        <f t="shared" si="25"/>
        <v>1091692848.4991665</v>
      </c>
      <c r="J234">
        <f t="shared" si="26"/>
        <v>1091692848.4991665</v>
      </c>
      <c r="K234">
        <f t="shared" si="27"/>
        <v>0</v>
      </c>
      <c r="L234">
        <f t="shared" si="28"/>
        <v>8208929441.1583996</v>
      </c>
      <c r="M234">
        <f t="shared" si="29"/>
        <v>6902067675.2485332</v>
      </c>
      <c r="N234">
        <f t="shared" si="30"/>
        <v>1.1893435166676787</v>
      </c>
      <c r="O234">
        <f t="shared" si="31"/>
        <v>54.324207581546439</v>
      </c>
    </row>
    <row r="235" spans="1:15">
      <c r="A235" s="8">
        <v>42619</v>
      </c>
      <c r="B235">
        <v>57.779998999999997</v>
      </c>
      <c r="C235">
        <v>57.799999</v>
      </c>
      <c r="D235">
        <v>57.209999000000003</v>
      </c>
      <c r="E235">
        <v>57.610000999999997</v>
      </c>
      <c r="F235">
        <v>52.971930999999998</v>
      </c>
      <c r="G235">
        <v>16278400</v>
      </c>
      <c r="H235">
        <f t="shared" si="24"/>
        <v>57.539999666666667</v>
      </c>
      <c r="I235">
        <f t="shared" si="25"/>
        <v>936659130.57386672</v>
      </c>
      <c r="J235">
        <f t="shared" si="26"/>
        <v>0</v>
      </c>
      <c r="K235">
        <f t="shared" si="27"/>
        <v>936659130.57386672</v>
      </c>
      <c r="L235">
        <f t="shared" si="28"/>
        <v>8208929441.1583996</v>
      </c>
      <c r="M235">
        <f t="shared" si="29"/>
        <v>6659788567.8380671</v>
      </c>
      <c r="N235">
        <f t="shared" si="30"/>
        <v>1.2326111193381657</v>
      </c>
      <c r="O235">
        <f t="shared" si="31"/>
        <v>55.209396238408068</v>
      </c>
    </row>
    <row r="236" spans="1:15">
      <c r="A236" s="8">
        <v>42620</v>
      </c>
      <c r="B236">
        <v>57.470001000000003</v>
      </c>
      <c r="C236">
        <v>57.84</v>
      </c>
      <c r="D236">
        <v>57.41</v>
      </c>
      <c r="E236">
        <v>57.66</v>
      </c>
      <c r="F236">
        <v>53.017906000000004</v>
      </c>
      <c r="G236">
        <v>17493400</v>
      </c>
      <c r="H236">
        <f t="shared" si="24"/>
        <v>57.636666666666663</v>
      </c>
      <c r="I236">
        <f t="shared" si="25"/>
        <v>1008261264.6666666</v>
      </c>
      <c r="J236">
        <f t="shared" si="26"/>
        <v>1008261264.6666666</v>
      </c>
      <c r="K236">
        <f t="shared" si="27"/>
        <v>0</v>
      </c>
      <c r="L236">
        <f t="shared" si="28"/>
        <v>8133136263.5396004</v>
      </c>
      <c r="M236">
        <f t="shared" si="29"/>
        <v>6659788567.8380671</v>
      </c>
      <c r="N236">
        <f t="shared" si="30"/>
        <v>1.221230401039566</v>
      </c>
      <c r="O236">
        <f t="shared" si="31"/>
        <v>54.979906652997983</v>
      </c>
    </row>
    <row r="237" spans="1:15">
      <c r="A237" s="8">
        <v>42621</v>
      </c>
      <c r="B237">
        <v>57.630001</v>
      </c>
      <c r="C237">
        <v>57.790000999999997</v>
      </c>
      <c r="D237">
        <v>57.18</v>
      </c>
      <c r="E237">
        <v>57.43</v>
      </c>
      <c r="F237">
        <v>52.806412000000002</v>
      </c>
      <c r="G237">
        <v>20146100</v>
      </c>
      <c r="H237">
        <f t="shared" si="24"/>
        <v>57.466667000000001</v>
      </c>
      <c r="I237">
        <f t="shared" si="25"/>
        <v>1157729220.0487001</v>
      </c>
      <c r="J237">
        <f t="shared" si="26"/>
        <v>0</v>
      </c>
      <c r="K237">
        <f t="shared" si="27"/>
        <v>1157729220.0487001</v>
      </c>
      <c r="L237">
        <f t="shared" si="28"/>
        <v>7315482351.2776995</v>
      </c>
      <c r="M237">
        <f t="shared" si="29"/>
        <v>7817517787.8867674</v>
      </c>
      <c r="N237">
        <f t="shared" si="30"/>
        <v>0.9357807106768633</v>
      </c>
      <c r="O237">
        <f t="shared" si="31"/>
        <v>48.34125608936661</v>
      </c>
    </row>
    <row r="238" spans="1:15">
      <c r="A238" s="8">
        <v>42622</v>
      </c>
      <c r="B238">
        <v>56.790000999999997</v>
      </c>
      <c r="C238">
        <v>57.52</v>
      </c>
      <c r="D238">
        <v>56.209999000000003</v>
      </c>
      <c r="E238">
        <v>56.209999000000003</v>
      </c>
      <c r="F238">
        <v>51.684627999999996</v>
      </c>
      <c r="G238">
        <v>35113900</v>
      </c>
      <c r="H238">
        <f t="shared" si="24"/>
        <v>56.646666000000003</v>
      </c>
      <c r="I238">
        <f t="shared" si="25"/>
        <v>1989085365.2574</v>
      </c>
      <c r="J238">
        <f t="shared" si="26"/>
        <v>0</v>
      </c>
      <c r="K238">
        <f t="shared" si="27"/>
        <v>1989085365.2574</v>
      </c>
      <c r="L238">
        <f t="shared" si="28"/>
        <v>7315482351.2776995</v>
      </c>
      <c r="M238">
        <f t="shared" si="29"/>
        <v>8813232803.1441669</v>
      </c>
      <c r="N238">
        <f t="shared" si="30"/>
        <v>0.83005663355084214</v>
      </c>
      <c r="O238">
        <f t="shared" si="31"/>
        <v>45.356882313542989</v>
      </c>
    </row>
    <row r="239" spans="1:15">
      <c r="A239" s="8">
        <v>42625</v>
      </c>
      <c r="B239">
        <v>56</v>
      </c>
      <c r="C239">
        <v>57.209999000000003</v>
      </c>
      <c r="D239">
        <v>55.610000999999997</v>
      </c>
      <c r="E239">
        <v>57.049999</v>
      </c>
      <c r="F239">
        <v>52.457005000000002</v>
      </c>
      <c r="G239">
        <v>29303000</v>
      </c>
      <c r="H239">
        <f t="shared" si="24"/>
        <v>56.623333000000002</v>
      </c>
      <c r="I239">
        <f t="shared" si="25"/>
        <v>1659233526.8990002</v>
      </c>
      <c r="J239">
        <f t="shared" si="26"/>
        <v>0</v>
      </c>
      <c r="K239">
        <f t="shared" si="27"/>
        <v>1659233526.8990002</v>
      </c>
      <c r="L239">
        <f t="shared" si="28"/>
        <v>6439309807.5735664</v>
      </c>
      <c r="M239">
        <f t="shared" si="29"/>
        <v>10472466330.043167</v>
      </c>
      <c r="N239">
        <f t="shared" si="30"/>
        <v>0.61487997236148895</v>
      </c>
      <c r="O239">
        <f t="shared" si="31"/>
        <v>38.075893124263033</v>
      </c>
    </row>
    <row r="240" spans="1:15">
      <c r="A240" s="8">
        <v>42626</v>
      </c>
      <c r="B240">
        <v>56.5</v>
      </c>
      <c r="C240">
        <v>56.650002000000001</v>
      </c>
      <c r="D240">
        <v>56.049999</v>
      </c>
      <c r="E240">
        <v>56.529998999999997</v>
      </c>
      <c r="F240">
        <v>51.978881999999999</v>
      </c>
      <c r="G240">
        <v>30130200</v>
      </c>
      <c r="H240">
        <f t="shared" si="24"/>
        <v>56.41</v>
      </c>
      <c r="I240">
        <f t="shared" si="25"/>
        <v>1699644582</v>
      </c>
      <c r="J240">
        <f t="shared" si="26"/>
        <v>0</v>
      </c>
      <c r="K240">
        <f t="shared" si="27"/>
        <v>1699644582</v>
      </c>
      <c r="L240">
        <f t="shared" si="28"/>
        <v>5353330156.9726334</v>
      </c>
      <c r="M240">
        <f t="shared" si="29"/>
        <v>12172110912.043167</v>
      </c>
      <c r="N240">
        <f t="shared" si="30"/>
        <v>0.43980293933043391</v>
      </c>
      <c r="O240">
        <f t="shared" si="31"/>
        <v>30.546050943260326</v>
      </c>
    </row>
    <row r="241" spans="1:15">
      <c r="A241" s="8">
        <v>42627</v>
      </c>
      <c r="B241">
        <v>56.389999000000003</v>
      </c>
      <c r="C241">
        <v>56.630001</v>
      </c>
      <c r="D241">
        <v>56.029998999999997</v>
      </c>
      <c r="E241">
        <v>56.259998000000003</v>
      </c>
      <c r="F241">
        <v>51.730609999999999</v>
      </c>
      <c r="G241">
        <v>24062500</v>
      </c>
      <c r="H241">
        <f t="shared" si="24"/>
        <v>56.306666</v>
      </c>
      <c r="I241">
        <f t="shared" si="25"/>
        <v>1354879150.625</v>
      </c>
      <c r="J241">
        <f t="shared" si="26"/>
        <v>0</v>
      </c>
      <c r="K241">
        <f t="shared" si="27"/>
        <v>1354879150.625</v>
      </c>
      <c r="L241">
        <f t="shared" si="28"/>
        <v>5353330156.9726334</v>
      </c>
      <c r="M241">
        <f t="shared" si="29"/>
        <v>12475957689.516668</v>
      </c>
      <c r="N241">
        <f t="shared" si="30"/>
        <v>0.42909172106851118</v>
      </c>
      <c r="O241">
        <f t="shared" si="31"/>
        <v>30.025485050580627</v>
      </c>
    </row>
    <row r="242" spans="1:15">
      <c r="A242" s="8">
        <v>42628</v>
      </c>
      <c r="B242">
        <v>56.150002000000001</v>
      </c>
      <c r="C242">
        <v>57.349997999999999</v>
      </c>
      <c r="D242">
        <v>55.98</v>
      </c>
      <c r="E242">
        <v>57.189999</v>
      </c>
      <c r="F242">
        <v>52.585732</v>
      </c>
      <c r="G242">
        <v>26847000</v>
      </c>
      <c r="H242">
        <f t="shared" si="24"/>
        <v>56.839998999999999</v>
      </c>
      <c r="I242">
        <f t="shared" si="25"/>
        <v>1525983453.1529999</v>
      </c>
      <c r="J242">
        <f t="shared" si="26"/>
        <v>1525983453.1529999</v>
      </c>
      <c r="K242">
        <f t="shared" si="27"/>
        <v>0</v>
      </c>
      <c r="L242">
        <f t="shared" si="28"/>
        <v>5801778614.4940329</v>
      </c>
      <c r="M242">
        <f t="shared" si="29"/>
        <v>12475957689.516668</v>
      </c>
      <c r="N242">
        <f t="shared" si="30"/>
        <v>0.46503673376266474</v>
      </c>
      <c r="O242">
        <f t="shared" si="31"/>
        <v>31.742325843824233</v>
      </c>
    </row>
    <row r="243" spans="1:15">
      <c r="A243" s="8">
        <v>42629</v>
      </c>
      <c r="B243">
        <v>57.630001</v>
      </c>
      <c r="C243">
        <v>57.630001</v>
      </c>
      <c r="D243">
        <v>56.75</v>
      </c>
      <c r="E243">
        <v>57.25</v>
      </c>
      <c r="F243">
        <v>52.640911000000003</v>
      </c>
      <c r="G243">
        <v>44607000</v>
      </c>
      <c r="H243">
        <f t="shared" si="24"/>
        <v>57.210000333333333</v>
      </c>
      <c r="I243">
        <f t="shared" si="25"/>
        <v>2551966484.869</v>
      </c>
      <c r="J243">
        <f t="shared" si="26"/>
        <v>2551966484.869</v>
      </c>
      <c r="K243">
        <f t="shared" si="27"/>
        <v>0</v>
      </c>
      <c r="L243">
        <f t="shared" si="28"/>
        <v>7134479538.3534317</v>
      </c>
      <c r="M243">
        <f t="shared" si="29"/>
        <v>12475957689.516668</v>
      </c>
      <c r="N243">
        <f t="shared" si="30"/>
        <v>0.57185826658809624</v>
      </c>
      <c r="O243">
        <f t="shared" si="31"/>
        <v>36.38103248516051</v>
      </c>
    </row>
    <row r="244" spans="1:15">
      <c r="A244" s="8">
        <v>42632</v>
      </c>
      <c r="B244">
        <v>57.27</v>
      </c>
      <c r="C244">
        <v>57.75</v>
      </c>
      <c r="D244">
        <v>56.849997999999999</v>
      </c>
      <c r="E244">
        <v>56.93</v>
      </c>
      <c r="F244">
        <v>52.346679999999999</v>
      </c>
      <c r="G244">
        <v>20937100</v>
      </c>
      <c r="H244">
        <f t="shared" si="24"/>
        <v>57.176666000000004</v>
      </c>
      <c r="I244">
        <f t="shared" si="25"/>
        <v>1197113573.7086</v>
      </c>
      <c r="J244">
        <f t="shared" si="26"/>
        <v>0</v>
      </c>
      <c r="K244">
        <f t="shared" si="27"/>
        <v>1197113573.7086</v>
      </c>
      <c r="L244">
        <f t="shared" si="28"/>
        <v>6177904051.1878328</v>
      </c>
      <c r="M244">
        <f t="shared" si="29"/>
        <v>13673071263.225269</v>
      </c>
      <c r="N244">
        <f t="shared" si="30"/>
        <v>0.4518300191855037</v>
      </c>
      <c r="O244">
        <f t="shared" si="31"/>
        <v>31.121413196772608</v>
      </c>
    </row>
    <row r="245" spans="1:15">
      <c r="A245" s="8">
        <v>42633</v>
      </c>
      <c r="B245">
        <v>57.349997999999999</v>
      </c>
      <c r="C245">
        <v>57.349997999999999</v>
      </c>
      <c r="D245">
        <v>56.75</v>
      </c>
      <c r="E245">
        <v>56.810001</v>
      </c>
      <c r="F245">
        <v>52.236336000000001</v>
      </c>
      <c r="G245">
        <v>17384000</v>
      </c>
      <c r="H245">
        <f t="shared" si="24"/>
        <v>56.969999666666666</v>
      </c>
      <c r="I245">
        <f t="shared" si="25"/>
        <v>990366474.20533335</v>
      </c>
      <c r="J245">
        <f t="shared" si="26"/>
        <v>0</v>
      </c>
      <c r="K245">
        <f t="shared" si="27"/>
        <v>990366474.20533335</v>
      </c>
      <c r="L245">
        <f t="shared" si="28"/>
        <v>6177904051.1878328</v>
      </c>
      <c r="M245">
        <f t="shared" si="29"/>
        <v>13683235597.074001</v>
      </c>
      <c r="N245">
        <f t="shared" si="30"/>
        <v>0.45149438576566675</v>
      </c>
      <c r="O245">
        <f t="shared" si="31"/>
        <v>31.105486193630881</v>
      </c>
    </row>
    <row r="246" spans="1:15">
      <c r="A246" s="8">
        <v>42634</v>
      </c>
      <c r="B246">
        <v>57.509998000000003</v>
      </c>
      <c r="C246">
        <v>57.849997999999999</v>
      </c>
      <c r="D246">
        <v>57.080002</v>
      </c>
      <c r="E246">
        <v>57.759998000000003</v>
      </c>
      <c r="F246">
        <v>53.109851999999997</v>
      </c>
      <c r="G246">
        <v>33707300</v>
      </c>
      <c r="H246">
        <f t="shared" si="24"/>
        <v>57.563332666666668</v>
      </c>
      <c r="I246">
        <f t="shared" si="25"/>
        <v>1940304523.1951334</v>
      </c>
      <c r="J246">
        <f t="shared" si="26"/>
        <v>1940304523.1951334</v>
      </c>
      <c r="K246">
        <f t="shared" si="27"/>
        <v>0</v>
      </c>
      <c r="L246">
        <f t="shared" si="28"/>
        <v>8118208574.382966</v>
      </c>
      <c r="M246">
        <f t="shared" si="29"/>
        <v>12483351161.934299</v>
      </c>
      <c r="N246">
        <f t="shared" si="30"/>
        <v>0.6503228555436269</v>
      </c>
      <c r="O246">
        <f t="shared" si="31"/>
        <v>39.405795863464931</v>
      </c>
    </row>
    <row r="247" spans="1:15">
      <c r="A247" s="8">
        <v>42635</v>
      </c>
      <c r="B247">
        <v>57.919998</v>
      </c>
      <c r="C247">
        <v>58</v>
      </c>
      <c r="D247">
        <v>57.630001</v>
      </c>
      <c r="E247">
        <v>57.82</v>
      </c>
      <c r="F247">
        <v>53.165024000000003</v>
      </c>
      <c r="G247">
        <v>19822200</v>
      </c>
      <c r="H247">
        <f t="shared" si="24"/>
        <v>57.816666999999995</v>
      </c>
      <c r="I247">
        <f t="shared" si="25"/>
        <v>1146053536.6073999</v>
      </c>
      <c r="J247">
        <f t="shared" si="26"/>
        <v>1146053536.6073999</v>
      </c>
      <c r="K247">
        <f t="shared" si="27"/>
        <v>0</v>
      </c>
      <c r="L247">
        <f t="shared" si="28"/>
        <v>9264262110.990366</v>
      </c>
      <c r="M247">
        <f t="shared" si="29"/>
        <v>10984711023.317902</v>
      </c>
      <c r="N247">
        <f t="shared" si="30"/>
        <v>0.84337786322503738</v>
      </c>
      <c r="O247">
        <f t="shared" si="31"/>
        <v>45.751762568610104</v>
      </c>
    </row>
    <row r="248" spans="1:15">
      <c r="A248" s="8">
        <v>42636</v>
      </c>
      <c r="B248">
        <v>57.869999</v>
      </c>
      <c r="C248">
        <v>57.91</v>
      </c>
      <c r="D248">
        <v>57.380001</v>
      </c>
      <c r="E248">
        <v>57.43</v>
      </c>
      <c r="F248">
        <v>52.806412000000002</v>
      </c>
      <c r="G248">
        <v>19955300</v>
      </c>
      <c r="H248">
        <f t="shared" si="24"/>
        <v>57.573333666666663</v>
      </c>
      <c r="I248">
        <f t="shared" si="25"/>
        <v>1148893145.3184333</v>
      </c>
      <c r="J248">
        <f t="shared" si="26"/>
        <v>0</v>
      </c>
      <c r="K248">
        <f t="shared" si="27"/>
        <v>1148893145.3184333</v>
      </c>
      <c r="L248">
        <f t="shared" si="28"/>
        <v>8172569262.4911995</v>
      </c>
      <c r="M248">
        <f t="shared" si="29"/>
        <v>12133604168.636335</v>
      </c>
      <c r="N248">
        <f t="shared" si="30"/>
        <v>0.67354836608368551</v>
      </c>
      <c r="O248">
        <f t="shared" si="31"/>
        <v>40.246722457139001</v>
      </c>
    </row>
    <row r="249" spans="1:15">
      <c r="A249" s="8">
        <v>42639</v>
      </c>
      <c r="B249">
        <v>57.080002</v>
      </c>
      <c r="C249">
        <v>57.139999000000003</v>
      </c>
      <c r="D249">
        <v>56.830002</v>
      </c>
      <c r="E249">
        <v>56.900002000000001</v>
      </c>
      <c r="F249">
        <v>52.319091999999998</v>
      </c>
      <c r="G249">
        <v>21688700</v>
      </c>
      <c r="H249">
        <f t="shared" si="24"/>
        <v>56.956667666666668</v>
      </c>
      <c r="I249">
        <f t="shared" si="25"/>
        <v>1235316078.0220335</v>
      </c>
      <c r="J249">
        <f t="shared" si="26"/>
        <v>0</v>
      </c>
      <c r="K249">
        <f t="shared" si="27"/>
        <v>1235316078.0220335</v>
      </c>
      <c r="L249">
        <f t="shared" si="28"/>
        <v>8172569262.4911995</v>
      </c>
      <c r="M249">
        <f t="shared" si="29"/>
        <v>12432261116.084501</v>
      </c>
      <c r="N249">
        <f t="shared" si="30"/>
        <v>0.65736789037657561</v>
      </c>
      <c r="O249">
        <f t="shared" si="31"/>
        <v>39.663365882345715</v>
      </c>
    </row>
    <row r="250" spans="1:15">
      <c r="A250" s="8">
        <v>42640</v>
      </c>
      <c r="B250">
        <v>56.93</v>
      </c>
      <c r="C250">
        <v>58.060001</v>
      </c>
      <c r="D250">
        <v>56.68</v>
      </c>
      <c r="E250">
        <v>57.950001</v>
      </c>
      <c r="F250">
        <v>53.284560999999997</v>
      </c>
      <c r="G250">
        <v>28065100</v>
      </c>
      <c r="H250">
        <f t="shared" si="24"/>
        <v>57.563333999999998</v>
      </c>
      <c r="I250">
        <f t="shared" si="25"/>
        <v>1615520725.0434</v>
      </c>
      <c r="J250">
        <f t="shared" si="26"/>
        <v>1615520725.0434</v>
      </c>
      <c r="K250">
        <f t="shared" si="27"/>
        <v>0</v>
      </c>
      <c r="L250">
        <f t="shared" si="28"/>
        <v>8779828722.8679333</v>
      </c>
      <c r="M250">
        <f t="shared" si="29"/>
        <v>12432261116.084501</v>
      </c>
      <c r="N250">
        <f t="shared" si="30"/>
        <v>0.70621334613933129</v>
      </c>
      <c r="O250">
        <f t="shared" si="31"/>
        <v>41.390682339772368</v>
      </c>
    </row>
    <row r="251" spans="1:15">
      <c r="A251" s="8">
        <v>42641</v>
      </c>
      <c r="B251">
        <v>57.880001</v>
      </c>
      <c r="C251">
        <v>58.060001</v>
      </c>
      <c r="D251">
        <v>57.669998</v>
      </c>
      <c r="E251">
        <v>58.029998999999997</v>
      </c>
      <c r="F251">
        <v>53.358108999999999</v>
      </c>
      <c r="G251">
        <v>20536400</v>
      </c>
      <c r="H251">
        <f t="shared" si="24"/>
        <v>57.91999933333333</v>
      </c>
      <c r="I251">
        <f t="shared" si="25"/>
        <v>1189468274.3090665</v>
      </c>
      <c r="J251">
        <f t="shared" si="26"/>
        <v>1189468274.3090665</v>
      </c>
      <c r="K251">
        <f t="shared" si="27"/>
        <v>0</v>
      </c>
      <c r="L251">
        <f t="shared" si="28"/>
        <v>9969296997.177</v>
      </c>
      <c r="M251">
        <f t="shared" si="29"/>
        <v>11274531896.035801</v>
      </c>
      <c r="N251">
        <f t="shared" si="30"/>
        <v>0.88423156625085875</v>
      </c>
      <c r="O251">
        <f t="shared" si="31"/>
        <v>46.927966927666674</v>
      </c>
    </row>
    <row r="252" spans="1:15">
      <c r="A252" s="8">
        <v>42642</v>
      </c>
      <c r="B252">
        <v>57.810001</v>
      </c>
      <c r="C252">
        <v>58.169998</v>
      </c>
      <c r="D252">
        <v>57.209999000000003</v>
      </c>
      <c r="E252">
        <v>57.400002000000001</v>
      </c>
      <c r="F252">
        <v>52.778830999999997</v>
      </c>
      <c r="G252">
        <v>25463500</v>
      </c>
      <c r="H252">
        <f t="shared" si="24"/>
        <v>57.593333000000001</v>
      </c>
      <c r="I252">
        <f t="shared" si="25"/>
        <v>1466527834.8455</v>
      </c>
      <c r="J252">
        <f t="shared" si="26"/>
        <v>0</v>
      </c>
      <c r="K252">
        <f t="shared" si="27"/>
        <v>1466527834.8455</v>
      </c>
      <c r="L252">
        <f t="shared" si="28"/>
        <v>9969296997.177</v>
      </c>
      <c r="M252">
        <f t="shared" si="29"/>
        <v>10751974365.623901</v>
      </c>
      <c r="N252">
        <f t="shared" si="30"/>
        <v>0.92720617238920611</v>
      </c>
      <c r="O252">
        <f t="shared" si="31"/>
        <v>48.111415668606185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76</vt:i4>
      </vt:variant>
    </vt:vector>
  </HeadingPairs>
  <TitlesOfParts>
    <vt:vector size="78" baseType="lpstr">
      <vt:lpstr>Parameters</vt:lpstr>
      <vt:lpstr>Data</vt:lpstr>
      <vt:lpstr>endDate</vt:lpstr>
      <vt:lpstr>Data!ExternalData_138</vt:lpstr>
      <vt:lpstr>Data!ExternalData_139</vt:lpstr>
      <vt:lpstr>Data!ExternalData_140</vt:lpstr>
      <vt:lpstr>Data!ExternalData_141</vt:lpstr>
      <vt:lpstr>Data!ExternalData_142</vt:lpstr>
      <vt:lpstr>Data!ExternalData_143</vt:lpstr>
      <vt:lpstr>Data!ExternalData_144</vt:lpstr>
      <vt:lpstr>Data!ExternalData_145</vt:lpstr>
      <vt:lpstr>Data!ExternalData_146</vt:lpstr>
      <vt:lpstr>Data!ExternalData_147</vt:lpstr>
      <vt:lpstr>Data!ExternalData_148</vt:lpstr>
      <vt:lpstr>Data!ExternalData_149</vt:lpstr>
      <vt:lpstr>Data!ExternalData_150</vt:lpstr>
      <vt:lpstr>Data!ExternalData_151</vt:lpstr>
      <vt:lpstr>Data!ExternalData_152</vt:lpstr>
      <vt:lpstr>Data!ExternalData_153</vt:lpstr>
      <vt:lpstr>Data!ExternalData_154</vt:lpstr>
      <vt:lpstr>Data!ExternalData_155</vt:lpstr>
      <vt:lpstr>Data!ExternalData_156</vt:lpstr>
      <vt:lpstr>Data!ExternalData_157</vt:lpstr>
      <vt:lpstr>Data!ExternalData_158</vt:lpstr>
      <vt:lpstr>Data!ExternalData_159</vt:lpstr>
      <vt:lpstr>Data!ExternalData_160</vt:lpstr>
      <vt:lpstr>Data!ExternalData_161</vt:lpstr>
      <vt:lpstr>Data!ExternalData_162</vt:lpstr>
      <vt:lpstr>Data!ExternalData_163</vt:lpstr>
      <vt:lpstr>Data!ExternalData_164</vt:lpstr>
      <vt:lpstr>Data!ExternalData_165</vt:lpstr>
      <vt:lpstr>Data!ExternalData_166</vt:lpstr>
      <vt:lpstr>Data!ExternalData_167</vt:lpstr>
      <vt:lpstr>Data!ExternalData_168</vt:lpstr>
      <vt:lpstr>Data!ExternalData_169</vt:lpstr>
      <vt:lpstr>Data!ExternalData_170</vt:lpstr>
      <vt:lpstr>Data!ExternalData_171</vt:lpstr>
      <vt:lpstr>Data!ExternalData_172</vt:lpstr>
      <vt:lpstr>Data!ExternalData_173</vt:lpstr>
      <vt:lpstr>Data!ExternalData_174</vt:lpstr>
      <vt:lpstr>Data!ExternalData_175</vt:lpstr>
      <vt:lpstr>Data!ExternalData_176</vt:lpstr>
      <vt:lpstr>Data!ExternalData_177</vt:lpstr>
      <vt:lpstr>Data!ExternalData_178</vt:lpstr>
      <vt:lpstr>Data!ExternalData_179</vt:lpstr>
      <vt:lpstr>Data!ExternalData_180</vt:lpstr>
      <vt:lpstr>Data!ExternalData_181</vt:lpstr>
      <vt:lpstr>Data!ExternalData_182</vt:lpstr>
      <vt:lpstr>Data!ExternalData_183</vt:lpstr>
      <vt:lpstr>Data!ExternalData_184</vt:lpstr>
      <vt:lpstr>Data!ExternalData_185</vt:lpstr>
      <vt:lpstr>Data!ExternalData_186</vt:lpstr>
      <vt:lpstr>Data!ExternalData_187</vt:lpstr>
      <vt:lpstr>Data!ExternalData_188</vt:lpstr>
      <vt:lpstr>Data!ExternalData_189</vt:lpstr>
      <vt:lpstr>Data!ExternalData_190</vt:lpstr>
      <vt:lpstr>Data!ExternalData_191</vt:lpstr>
      <vt:lpstr>Data!ExternalData_192</vt:lpstr>
      <vt:lpstr>Data!ExternalData_193</vt:lpstr>
      <vt:lpstr>Data!ExternalData_194</vt:lpstr>
      <vt:lpstr>Data!ExternalData_195</vt:lpstr>
      <vt:lpstr>Data!ExternalData_196</vt:lpstr>
      <vt:lpstr>Data!ExternalData_197</vt:lpstr>
      <vt:lpstr>Data!ExternalData_198</vt:lpstr>
      <vt:lpstr>Data!ExternalData_199</vt:lpstr>
      <vt:lpstr>Data!ExternalData_200</vt:lpstr>
      <vt:lpstr>Data!ExternalData_201</vt:lpstr>
      <vt:lpstr>Data!ExternalData_202</vt:lpstr>
      <vt:lpstr>Data!ExternalData_203</vt:lpstr>
      <vt:lpstr>Data!ExternalData_204</vt:lpstr>
      <vt:lpstr>Data!ExternalData_205</vt:lpstr>
      <vt:lpstr>Data!ExternalData_206</vt:lpstr>
      <vt:lpstr>Data!ExternalData_207</vt:lpstr>
      <vt:lpstr>Data!ExternalData_208</vt:lpstr>
      <vt:lpstr>Data!ExternalData_209</vt:lpstr>
      <vt:lpstr>startDate</vt:lpstr>
      <vt:lpstr>ticker</vt:lpstr>
      <vt:lpstr>timeWindow</vt:lpstr>
    </vt:vector>
  </TitlesOfParts>
  <Company>investexcel.net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Samir Khan</cp:lastModifiedBy>
  <dcterms:created xsi:type="dcterms:W3CDTF">2011-05-29T20:49:38Z</dcterms:created>
  <dcterms:modified xsi:type="dcterms:W3CDTF">2022-06-10T10:24:06Z</dcterms:modified>
</cp:coreProperties>
</file>